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ülatör" sheetId="1" state="visible" r:id="rId1"/>
    <sheet xmlns:r="http://schemas.openxmlformats.org/officeDocument/2006/relationships" name="Veritabanı" sheetId="2" state="visible" r:id="rId2"/>
    <sheet xmlns:r="http://schemas.openxmlformats.org/officeDocument/2006/relationships" name="Bakım Kuralları" sheetId="3" state="visible" r:id="rId3"/>
    <sheet xmlns:r="http://schemas.openxmlformats.org/officeDocument/2006/relationships" name="Akademik Referans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7">
    <font>
      <name val="Calibri"/>
      <family val="2"/>
      <color theme="1"/>
      <sz val="11"/>
      <scheme val="minor"/>
    </font>
    <font>
      <b val="1"/>
      <color rgb="00E31837"/>
      <sz val="22"/>
    </font>
    <font>
      <i val="1"/>
      <sz val="12"/>
    </font>
    <font>
      <color rgb="00666666"/>
      <sz val="10"/>
    </font>
    <font>
      <b val="1"/>
      <color rgb="00FFFFFF"/>
      <sz val="12"/>
    </font>
    <font>
      <b val="1"/>
      <sz val="11"/>
    </font>
    <font>
      <sz val="12"/>
    </font>
    <font>
      <b val="1"/>
      <color rgb="001a1a2e"/>
    </font>
    <font>
      <b val="1"/>
      <sz val="12"/>
    </font>
    <font>
      <b val="1"/>
      <sz val="16"/>
    </font>
    <font>
      <b val="1"/>
    </font>
    <font>
      <b val="1"/>
      <color rgb="00E31837"/>
      <sz val="18"/>
    </font>
    <font>
      <b val="1"/>
      <sz val="14"/>
    </font>
    <font>
      <name val="Consolas"/>
      <sz val="10"/>
    </font>
    <font>
      <b val="1"/>
      <color rgb="00E31837"/>
      <sz val="12"/>
    </font>
    <font>
      <i val="1"/>
    </font>
    <font>
      <color rgb="000066CC"/>
    </font>
  </fonts>
  <fills count="10">
    <fill>
      <patternFill/>
    </fill>
    <fill>
      <patternFill patternType="gray125"/>
    </fill>
    <fill>
      <patternFill patternType="solid">
        <fgColor rgb="00E31837"/>
        <bgColor rgb="00E31837"/>
      </patternFill>
    </fill>
    <fill>
      <patternFill patternType="solid">
        <fgColor rgb="00E8F4FD"/>
        <bgColor rgb="00E8F4FD"/>
      </patternFill>
    </fill>
    <fill>
      <patternFill patternType="solid">
        <fgColor rgb="001a1a2e"/>
        <bgColor rgb="001a1a2e"/>
      </patternFill>
    </fill>
    <fill>
      <patternFill patternType="solid">
        <fgColor rgb="00FFF9E6"/>
        <bgColor rgb="00FFF9E6"/>
      </patternFill>
    </fill>
    <fill>
      <patternFill patternType="solid">
        <fgColor rgb="00E0E0E0"/>
        <bgColor rgb="00E0E0E0"/>
      </patternFill>
    </fill>
    <fill>
      <patternFill patternType="solid">
        <fgColor rgb="00e74c3c"/>
        <bgColor rgb="00e74c3c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pivotButton="0" quotePrefix="0" xfId="0"/>
    <xf numFmtId="0" fontId="5" fillId="0" borderId="2" pivotButton="0" quotePrefix="0" xfId="0"/>
    <xf numFmtId="0" fontId="6" fillId="5" borderId="2" pivotButton="0" quotePrefix="0" xfId="0"/>
    <xf numFmtId="0" fontId="8" fillId="6" borderId="1" applyAlignment="1" pivotButton="0" quotePrefix="0" xfId="0">
      <alignment horizontal="center" vertical="center" wrapText="1"/>
    </xf>
    <xf numFmtId="164" fontId="0" fillId="5" borderId="2" pivotButton="0" quotePrefix="0" xfId="0"/>
    <xf numFmtId="0" fontId="7" fillId="0" borderId="0" pivotButton="0" quotePrefix="0" xfId="0"/>
    <xf numFmtId="0" fontId="4" fillId="7" borderId="0" applyAlignment="1" pivotButton="0" quotePrefix="0" xfId="0">
      <alignment horizontal="center" vertical="center" wrapText="1"/>
    </xf>
    <xf numFmtId="0" fontId="9" fillId="5" borderId="1" pivotButton="0" quotePrefix="0" xfId="0"/>
    <xf numFmtId="164" fontId="9" fillId="5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74c3c"/>
          <bgColor rgb="00e74c3c"/>
        </patternFill>
      </fill>
    </dxf>
    <dxf>
      <fill>
        <patternFill patternType="solid">
          <fgColor rgb="00fdcb6e"/>
          <bgColor rgb="00fdcb6e"/>
        </patternFill>
      </fill>
    </dxf>
    <dxf>
      <fill>
        <patternFill patternType="solid">
          <fgColor rgb="0000b894"/>
          <bgColor rgb="0000b8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5" customWidth="1" min="4" max="4"/>
    <col width="25" customWidth="1" min="5" max="5"/>
    <col width="20" customWidth="1" min="6" max="6"/>
    <col width="15" customWidth="1" min="7" max="7"/>
    <col width="15" customWidth="1" min="8" max="8"/>
    <col width="5" customWidth="1" min="9" max="9"/>
    <col width="25" customWidth="1" min="10" max="10"/>
    <col width="20" customWidth="1" min="11" max="11"/>
  </cols>
  <sheetData>
    <row r="2" ht="35" customHeight="1">
      <c r="B2" s="1" t="inlineStr">
        <is>
          <t>✈️ THY AIRCRAFT MAINTENANCE SIMULATOR</t>
        </is>
      </c>
    </row>
    <row r="3">
      <c r="B3" s="2" t="inlineStr">
        <is>
          <t>Uçak Bakım Karar Destek Sistemi - Excel Simülasyonu</t>
        </is>
      </c>
    </row>
    <row r="4">
      <c r="B4" s="3" t="inlineStr">
        <is>
          <t>Sistem Tarihi: 2026-01-18 | Referanslar: Papakostas (2010), Callewaert (2017), Kowalski (2021)</t>
        </is>
      </c>
    </row>
    <row r="6" ht="25" customHeight="1">
      <c r="B6" s="4" t="inlineStr">
        <is>
          <t>📋 UÇAK SEÇİMİ</t>
        </is>
      </c>
      <c r="E6" s="5" t="inlineStr">
        <is>
          <t>🛫 UÇAK BİLGİLERİ</t>
        </is>
      </c>
      <c r="J6" s="4" t="inlineStr">
        <is>
          <t>⚙️ BAKIM DURUMU</t>
        </is>
      </c>
    </row>
    <row r="8">
      <c r="B8" s="6" t="inlineStr">
        <is>
          <t>Uçak Modeli:</t>
        </is>
      </c>
      <c r="C8" s="7" t="inlineStr">
        <is>
          <t>Boeing 777-300ER</t>
        </is>
      </c>
      <c r="E8" s="8" t="inlineStr">
        <is>
          <t>Model:</t>
        </is>
      </c>
      <c r="F8" s="9">
        <f>IFERROR(VLOOKUP($C$10,Veritabanı!$A$3:$O$290,2,FALSE),"-")</f>
        <v/>
      </c>
      <c r="J8" s="10" t="inlineStr">
        <is>
          <t>A Check</t>
        </is>
      </c>
    </row>
    <row r="9">
      <c r="E9" s="8" t="inlineStr">
        <is>
          <t>Kategori:</t>
        </is>
      </c>
      <c r="F9" s="9">
        <f>IFERROR(VLOOKUP($C$10,Veritabanı!$A$3:$O$290,3,FALSE),"-")</f>
        <v/>
      </c>
      <c r="J9" s="6" t="inlineStr">
        <is>
          <t>İlerleme (%):</t>
        </is>
      </c>
      <c r="K9" s="11">
        <f>IFERROR(MIN(100,MAX(VLOOKUP($C$10,Veritabanı!$A$3:$O$290,8,FALSE)/600*100,VLOOKUP($C$10,Veritabanı!$A$3:$O$290,9,FALSE)/400*100)),0)</f>
        <v/>
      </c>
    </row>
    <row r="10">
      <c r="B10" s="6" t="inlineStr">
        <is>
          <t>Kuyruk Numarası:</t>
        </is>
      </c>
      <c r="C10" s="7" t="inlineStr">
        <is>
          <t>TC-JJA10</t>
        </is>
      </c>
      <c r="E10" s="8" t="inlineStr">
        <is>
          <t>Toplam Uçuş Saati (FH):</t>
        </is>
      </c>
      <c r="F10" s="9">
        <f>IFERROR(VLOOKUP($C$10,Veritabanı!$A$3:$O$290,5,FALSE),"-")</f>
        <v/>
      </c>
      <c r="J10" s="6" t="inlineStr">
        <is>
          <t>Durum:</t>
        </is>
      </c>
      <c r="K10" s="8">
        <f>IF(K9&gt;=90,"🔴 KRİTİK",IF(K9&gt;=75,"🟡 UYARI","🟢 NORMAL"))</f>
        <v/>
      </c>
    </row>
    <row r="11">
      <c r="E11" s="8" t="inlineStr">
        <is>
          <t>Toplam Döngü (FC):</t>
        </is>
      </c>
      <c r="F11" s="9">
        <f>IFERROR(VLOOKUP($C$10,Veritabanı!$A$3:$O$290,6,FALSE),"-")</f>
        <v/>
      </c>
    </row>
    <row r="12">
      <c r="B12" s="12" t="inlineStr">
        <is>
          <t>💡 Kullanım:</t>
        </is>
      </c>
      <c r="E12" s="8" t="inlineStr">
        <is>
          <t>Son Bakım Tipi:</t>
        </is>
      </c>
      <c r="F12" s="9">
        <f>IFERROR(VLOOKUP($C$10,Veritabanı!$A$3:$O$290,7,FALSE),"-")</f>
        <v/>
      </c>
      <c r="J12" s="10" t="inlineStr">
        <is>
          <t>B Check (Phased)</t>
        </is>
      </c>
    </row>
    <row r="13">
      <c r="B13" t="inlineStr">
        <is>
          <t>1. Yukarıdaki dropdown'lardan uçak seçin</t>
        </is>
      </c>
      <c r="E13" s="8" t="inlineStr">
        <is>
          <t>Son Bakımdan Beri FH:</t>
        </is>
      </c>
      <c r="F13" s="9">
        <f>IFERROR(VLOOKUP($C$10,Veritabanı!$A$3:$O$290,8,FALSE),"-")</f>
        <v/>
      </c>
      <c r="J13" s="6" t="inlineStr">
        <is>
          <t>İlerleme (%):</t>
        </is>
      </c>
      <c r="K13" s="11">
        <f>IFERROR(MIN(100,VLOOKUP($C$10,Veritabanı!$A$3:$O$290,11,FALSE)/180*100),0)</f>
        <v/>
      </c>
    </row>
    <row r="14">
      <c r="B14" t="inlineStr">
        <is>
          <t>2. Sağ taraftaki bakım durumu otomatik güncellenecek</t>
        </is>
      </c>
      <c r="E14" s="8" t="inlineStr">
        <is>
          <t>Son Bakımdan Beri FC:</t>
        </is>
      </c>
      <c r="F14" s="9">
        <f>IFERROR(VLOOKUP($C$10,Veritabanı!$A$3:$O$290,9,FALSE),"-")</f>
        <v/>
      </c>
      <c r="J14" s="6" t="inlineStr">
        <is>
          <t>Durum:</t>
        </is>
      </c>
      <c r="K14" s="8">
        <f>IF(K13&gt;=90,"🔴 KRİTİK",IF(K13&gt;=75,"🟡 UYARI","🟢 NORMAL"))</f>
        <v/>
      </c>
    </row>
    <row r="15">
      <c r="B15" t="inlineStr">
        <is>
          <t>3. Veritabanı sayfasından tüm uçakları görüntüleyebilirsiniz</t>
        </is>
      </c>
      <c r="E15" s="8" t="inlineStr">
        <is>
          <t>Son Bakım Tarihi:</t>
        </is>
      </c>
      <c r="F15" s="9">
        <f>IFERROR(VLOOKUP($C$10,Veritabanı!$A$3:$O$290,10,FALSE),"-")</f>
        <v/>
      </c>
    </row>
    <row r="16">
      <c r="E16" s="8" t="inlineStr">
        <is>
          <t>Günlük Ort. FH:</t>
        </is>
      </c>
      <c r="F16" s="9">
        <f>IFERROR(VLOOKUP($C$10,Veritabanı!$A$3:$O$290,14,FALSE),"-")</f>
        <v/>
      </c>
      <c r="J16" s="10" t="inlineStr">
        <is>
          <t>C Check</t>
        </is>
      </c>
    </row>
    <row r="17">
      <c r="E17" s="8" t="inlineStr">
        <is>
          <t>Mevcut Durum:</t>
        </is>
      </c>
      <c r="F17" s="9">
        <f>IFERROR(VLOOKUP($C$10,Veritabanı!$A$3:$O$290,15,FALSE),"-")</f>
        <v/>
      </c>
      <c r="J17" s="6" t="inlineStr">
        <is>
          <t>İlerleme (%):</t>
        </is>
      </c>
      <c r="K17" s="11">
        <f>IFERROR(MIN(100,MAX(VLOOKUP($C$10,Veritabanı!$A$3:$O$290,8,FALSE)*2/6000*100,VLOOKUP($C$10,Veritabanı!$A$3:$O$290,11,FALSE)/730*100)),0)</f>
        <v/>
      </c>
    </row>
    <row r="18">
      <c r="J18" s="6" t="inlineStr">
        <is>
          <t>Durum:</t>
        </is>
      </c>
      <c r="K18" s="8">
        <f>IF(K17&gt;=90,"🔴 KRİTİK",IF(K17&gt;=75,"🟡 UYARI","🟢 NORMAL"))</f>
        <v/>
      </c>
    </row>
    <row r="20">
      <c r="B20" s="13" t="inlineStr">
        <is>
          <t>📊 EN KRİTİK BAKIM</t>
        </is>
      </c>
      <c r="J20" s="10" t="inlineStr">
        <is>
          <t>D Check (Heavy)</t>
        </is>
      </c>
    </row>
    <row r="21">
      <c r="B21" s="6" t="inlineStr">
        <is>
          <t>Bakım Tipi:</t>
        </is>
      </c>
      <c r="C21" s="14">
        <f>IF(MAX(K9,K13,K17,K21)=K9,"A Check",IF(MAX(K9,K13,K17,K21)=K13,"B Check",IF(MAX(K9,K13,K17,K21)=K17,"C Check","D Check")))</f>
        <v/>
      </c>
      <c r="J21" s="6" t="inlineStr">
        <is>
          <t>İlerleme (%):</t>
        </is>
      </c>
      <c r="K21" s="11">
        <f>IFERROR(MIN(100,VLOOKUP($C$10,Veritabanı!$A$3:$O$290,13,FALSE)/2190*100),0)</f>
        <v/>
      </c>
    </row>
    <row r="22">
      <c r="B22" s="6" t="inlineStr">
        <is>
          <t>İlerleme:</t>
        </is>
      </c>
      <c r="C22" s="15">
        <f>MAX(K9,K13,K17,K21)</f>
        <v/>
      </c>
      <c r="J22" s="6" t="inlineStr">
        <is>
          <t>Durum:</t>
        </is>
      </c>
      <c r="K22" s="8">
        <f>IF(K21&gt;=90,"🔴 KRİTİK",IF(K21&gt;=75,"🟡 UYARI","🟢 NORMAL"))</f>
        <v/>
      </c>
    </row>
    <row r="23">
      <c r="B23" s="6" t="inlineStr">
        <is>
          <t>Genel Durum:</t>
        </is>
      </c>
      <c r="C23" s="16">
        <f>IF(C22&gt;=90,"🔴 ACİL BAKIM GEREKLİ!",IF(C22&gt;=75,"🟡 BAKIM YAKLAŞIYOR","🟢 NORMAL"))</f>
        <v/>
      </c>
    </row>
    <row r="26">
      <c r="B26" s="17" t="inlineStr">
        <is>
          <t>📖 RENK KODLARI:</t>
        </is>
      </c>
    </row>
    <row r="27">
      <c r="B27" s="18" t="inlineStr">
        <is>
          <t>🔴 KRİTİK</t>
        </is>
      </c>
      <c r="C27" t="inlineStr">
        <is>
          <t>≥90% - Acil bakım planlanmalı</t>
        </is>
      </c>
    </row>
    <row r="28">
      <c r="B28" s="19" t="inlineStr">
        <is>
          <t>🟡 UYARI</t>
        </is>
      </c>
      <c r="C28" t="inlineStr">
        <is>
          <t>75-89% - Bakım penceresi yaklaşıyor</t>
        </is>
      </c>
    </row>
    <row r="29">
      <c r="B29" s="20" t="inlineStr">
        <is>
          <t>🟢 NORMAL</t>
        </is>
      </c>
      <c r="C29" t="inlineStr">
        <is>
          <t>&lt;75% - Normal operasyon devam</t>
        </is>
      </c>
    </row>
  </sheetData>
  <mergeCells count="11">
    <mergeCell ref="B6:C6"/>
    <mergeCell ref="J20:K20"/>
    <mergeCell ref="J12:K12"/>
    <mergeCell ref="B4:K4"/>
    <mergeCell ref="J6:K6"/>
    <mergeCell ref="J16:K16"/>
    <mergeCell ref="B20:C20"/>
    <mergeCell ref="E6:G6"/>
    <mergeCell ref="B2:K2"/>
    <mergeCell ref="J8:K8"/>
    <mergeCell ref="B3:K3"/>
  </mergeCells>
  <conditionalFormatting sqref="K10">
    <cfRule type="expression" priority="1" dxfId="0">
      <formula>K9&gt;=90</formula>
    </cfRule>
    <cfRule type="expression" priority="2" dxfId="1">
      <formula>AND(K9&gt;=75,K9&lt;90)</formula>
    </cfRule>
    <cfRule type="expression" priority="3" dxfId="2">
      <formula>K9&lt;75</formula>
    </cfRule>
  </conditionalFormatting>
  <conditionalFormatting sqref="K14">
    <cfRule type="expression" priority="4" dxfId="0">
      <formula>K13&gt;=90</formula>
    </cfRule>
    <cfRule type="expression" priority="5" dxfId="1">
      <formula>AND(K13&gt;=75,K13&lt;90)</formula>
    </cfRule>
    <cfRule type="expression" priority="6" dxfId="2">
      <formula>K13&lt;75</formula>
    </cfRule>
  </conditionalFormatting>
  <conditionalFormatting sqref="K18">
    <cfRule type="expression" priority="7" dxfId="0">
      <formula>K17&gt;=90</formula>
    </cfRule>
    <cfRule type="expression" priority="8" dxfId="1">
      <formula>AND(K17&gt;=75,K17&lt;90)</formula>
    </cfRule>
    <cfRule type="expression" priority="9" dxfId="2">
      <formula>K17&lt;75</formula>
    </cfRule>
  </conditionalFormatting>
  <conditionalFormatting sqref="K22">
    <cfRule type="expression" priority="10" dxfId="0">
      <formula>K21&gt;=90</formula>
    </cfRule>
    <cfRule type="expression" priority="11" dxfId="1">
      <formula>AND(K21&gt;=75,K21&lt;90)</formula>
    </cfRule>
    <cfRule type="expression" priority="12" dxfId="2">
      <formula>K21&lt;75</formula>
    </cfRule>
  </conditionalFormatting>
  <conditionalFormatting sqref="C23">
    <cfRule type="expression" priority="13" dxfId="0">
      <formula>C22&gt;=90</formula>
    </cfRule>
    <cfRule type="expression" priority="14" dxfId="1">
      <formula>AND(C22&gt;=75,C22&lt;90)</formula>
    </cfRule>
    <cfRule type="expression" priority="15" dxfId="2">
      <formula>C22&lt;75</formula>
    </cfRule>
  </conditionalFormatting>
  <dataValidations count="2">
    <dataValidation sqref="C8" showDropDown="0" showInputMessage="0" showErrorMessage="0" allowBlank="0" errorTitle="Geçersiz Seçim" error="Lütfen listeden bir model seçin" promptTitle="Model Seçimi" prompt="Uçak modelini seçin" type="list">
      <formula1>"Airbus A319-100,Airbus A320 NEO,Airbus A320-200,Airbus A321 NEO,Airbus A321-200,Airbus A330-200,Airbus A330-300,Airbus A350-900,Boeing 737 MAX 8,Boeing 737-800,Boeing 737-900ER,Boeing 777-300ER,Boeing 777F,Boeing 787-9"</formula1>
    </dataValidation>
    <dataValidation sqref="C10" showDropDown="0" showInputMessage="0" showErrorMessage="0" allowBlank="0" error="Lütfen listeden bir kuyruk numarası seçin" type="list">
      <formula1>"TC-JJA64,TC-JJB49,TC-JJB56,TC-JJC52,TC-JJC82,TC-JJD67,TC-JJD82,TC-JJE23,TC-JJE31,TC-JJF54,TC-JJF95,TC-JJG12,TC-JJG17,TC-JJH12,TC-JJH69,TC-JJI67,TC-JJI77,TC-JJJ68,TC-JJK61,TC-JJL82,TC-JJM79,TC-JJN30,TC-JJO74,TC-JJP67,TC-JJQ19,TC-JJR49,TC-JJS23,TC-JJT81,TC-JJU18,TC-JJV86,TC-JJW66,TC-JJX71,TC-JJY60,TC-JJZ66,TC-JLB91,TC-JLC14,TC-JLD38,TC-JLE23,TC-JLF20,TC-JLG20,TC-JNB80,TC-JNC34,TC-JND47,TC-JNE91,TC-JNF42,TC-JNG82,TC-JNH48,TC-JNI94,TC-JNJ47,TC-JNK64,TC-JNL66,TC-JNM65,TC-JOA89,TC-JOB27,TC-JOB83,TC-JOC21,TC-JOC95,TC-JOD14,TC-JOD94,TC-JOE45,TC-JOE75,TC-JOF82,TC-JOF90,TC-JOG86,TC-JOG90,TC-JOH40,TC-JOH69,TC-JOI67,TC-JOI70,TC-JOJ53,TC-JOJ92,TC-JOK51,TC-JOK54,TC-JOL22,TC-JOL62,TC-JOM22,TC-JON53,TC-JOO79,TC-JOP66,TC-JOQ77,TC-JOR73,TC-JOS46,TC-JOT35,TC-JOU12,TC-JOV87,TC-JOW49,TC-JOX79,TC-JOY19,TC-JOZ68,TC-JPB99,TC-JPC97,TC-JPD37,TC-JPE84,TC-JPF97,TC-JPG97,TC-JPH43,TC-JPI79,TC-JPJ20,TC-JPK37,TC-JPL53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2" customWidth="1" min="12" max="12"/>
    <col width="18" customWidth="1" min="13" max="13"/>
    <col width="12" customWidth="1" min="14" max="14"/>
    <col width="10" customWidth="1" min="15" max="15"/>
  </cols>
  <sheetData>
    <row r="1">
      <c r="A1" s="21" t="inlineStr">
        <is>
          <t>📊 THY FİLO VERİTABANI - VLOOKUP KAYNAK TABLOSU</t>
        </is>
      </c>
    </row>
    <row r="2">
      <c r="A2" s="22" t="inlineStr">
        <is>
          <t>Kuyruk No</t>
        </is>
      </c>
      <c r="B2" s="22" t="inlineStr">
        <is>
          <t>Model</t>
        </is>
      </c>
      <c r="C2" s="22" t="inlineStr">
        <is>
          <t>Kategori</t>
        </is>
      </c>
      <c r="D2" s="22" t="inlineStr">
        <is>
          <t>Teslim Tarihi</t>
        </is>
      </c>
      <c r="E2" s="22" t="inlineStr">
        <is>
          <t>Toplam FH</t>
        </is>
      </c>
      <c r="F2" s="22" t="inlineStr">
        <is>
          <t>Toplam FC</t>
        </is>
      </c>
      <c r="G2" s="22" t="inlineStr">
        <is>
          <t>Son Bakım Tipi</t>
        </is>
      </c>
      <c r="H2" s="22" t="inlineStr">
        <is>
          <t>Son Bakımdan Beri FH</t>
        </is>
      </c>
      <c r="I2" s="22" t="inlineStr">
        <is>
          <t>Son Bakımdan Beri FC</t>
        </is>
      </c>
      <c r="J2" s="22" t="inlineStr">
        <is>
          <t>Son Bakım Tarihi</t>
        </is>
      </c>
      <c r="K2" s="22" t="inlineStr">
        <is>
          <t>Son Bakımdan Beri Gün</t>
        </is>
      </c>
      <c r="L2" s="22" t="inlineStr">
        <is>
          <t>Son D-Check</t>
        </is>
      </c>
      <c r="M2" s="22" t="inlineStr">
        <is>
          <t>Son D-Check Beri Gün</t>
        </is>
      </c>
      <c r="N2" s="22" t="inlineStr">
        <is>
          <t>Günlük Ort. FH</t>
        </is>
      </c>
      <c r="O2" s="22" t="inlineStr">
        <is>
          <t>Durum</t>
        </is>
      </c>
    </row>
    <row r="3">
      <c r="A3" s="23" t="inlineStr">
        <is>
          <t>TC-JJA64</t>
        </is>
      </c>
      <c r="B3" s="23" t="inlineStr">
        <is>
          <t>Boeing 777-300ER</t>
        </is>
      </c>
      <c r="C3" s="23" t="inlineStr">
        <is>
          <t>WIDE</t>
        </is>
      </c>
      <c r="D3" s="23" t="inlineStr">
        <is>
          <t>2015-01-21</t>
        </is>
      </c>
      <c r="E3" s="23" t="n">
        <v>29706</v>
      </c>
      <c r="F3" s="23" t="n">
        <v>5532</v>
      </c>
      <c r="G3" s="23" t="inlineStr">
        <is>
          <t>B</t>
        </is>
      </c>
      <c r="H3" s="23" t="n">
        <v>1292</v>
      </c>
      <c r="I3" s="23" t="n">
        <v>900</v>
      </c>
      <c r="J3" s="23" t="inlineStr">
        <is>
          <t>2024-07-10</t>
        </is>
      </c>
      <c r="K3" s="23" t="n">
        <v>557</v>
      </c>
      <c r="L3" s="23" t="inlineStr">
        <is>
          <t>2021-07-26</t>
        </is>
      </c>
      <c r="M3" s="23" t="n">
        <v>1637</v>
      </c>
      <c r="N3" s="23" t="n">
        <v>9.300000000000001</v>
      </c>
      <c r="O3" s="23" t="inlineStr">
        <is>
          <t>Aktif</t>
        </is>
      </c>
    </row>
    <row r="4">
      <c r="A4" s="23" t="inlineStr">
        <is>
          <t>TC-JJB49</t>
        </is>
      </c>
      <c r="B4" s="23" t="inlineStr">
        <is>
          <t>Boeing 777-300ER</t>
        </is>
      </c>
      <c r="C4" s="23" t="inlineStr">
        <is>
          <t>WIDE</t>
        </is>
      </c>
      <c r="D4" s="23" t="inlineStr">
        <is>
          <t>2017-01-20</t>
        </is>
      </c>
      <c r="E4" s="23" t="n">
        <v>22141</v>
      </c>
      <c r="F4" s="23" t="n">
        <v>3256</v>
      </c>
      <c r="G4" s="23" t="inlineStr">
        <is>
          <t>B</t>
        </is>
      </c>
      <c r="H4" s="23" t="n">
        <v>301</v>
      </c>
      <c r="I4" s="23" t="n">
        <v>1041</v>
      </c>
      <c r="J4" s="23" t="inlineStr">
        <is>
          <t>2025-02-15</t>
        </is>
      </c>
      <c r="K4" s="23" t="n">
        <v>337</v>
      </c>
      <c r="L4" s="23" t="inlineStr">
        <is>
          <t>2024-10-16</t>
        </is>
      </c>
      <c r="M4" s="23" t="n">
        <v>459</v>
      </c>
      <c r="N4" s="23" t="n">
        <v>8.5</v>
      </c>
      <c r="O4" s="23" t="inlineStr">
        <is>
          <t>Aktif</t>
        </is>
      </c>
    </row>
    <row r="5">
      <c r="A5" s="23" t="inlineStr">
        <is>
          <t>TC-JJB56</t>
        </is>
      </c>
      <c r="B5" s="23" t="inlineStr">
        <is>
          <t>Boeing 777-300ER</t>
        </is>
      </c>
      <c r="C5" s="23" t="inlineStr">
        <is>
          <t>WIDE</t>
        </is>
      </c>
      <c r="D5" s="23" t="inlineStr">
        <is>
          <t>2023-01-19</t>
        </is>
      </c>
      <c r="E5" s="23" t="n">
        <v>40186</v>
      </c>
      <c r="F5" s="23" t="n">
        <v>5042</v>
      </c>
      <c r="G5" s="23" t="inlineStr">
        <is>
          <t>A</t>
        </is>
      </c>
      <c r="H5" s="23" t="n">
        <v>304</v>
      </c>
      <c r="I5" s="23" t="n">
        <v>366</v>
      </c>
      <c r="J5" s="23" t="inlineStr">
        <is>
          <t>2025-01-10</t>
        </is>
      </c>
      <c r="K5" s="23" t="n">
        <v>373</v>
      </c>
      <c r="L5" s="23" t="inlineStr">
        <is>
          <t>2024-08-06</t>
        </is>
      </c>
      <c r="M5" s="23" t="n">
        <v>530</v>
      </c>
      <c r="N5" s="23" t="n">
        <v>10.9</v>
      </c>
      <c r="O5" s="23" t="inlineStr">
        <is>
          <t>Bakımda</t>
        </is>
      </c>
    </row>
    <row r="6">
      <c r="A6" s="23" t="inlineStr">
        <is>
          <t>TC-JJC52</t>
        </is>
      </c>
      <c r="B6" s="23" t="inlineStr">
        <is>
          <t>Boeing 777-300ER</t>
        </is>
      </c>
      <c r="C6" s="23" t="inlineStr">
        <is>
          <t>WIDE</t>
        </is>
      </c>
      <c r="D6" s="23" t="inlineStr">
        <is>
          <t>2023-01-19</t>
        </is>
      </c>
      <c r="E6" s="23" t="n">
        <v>33210</v>
      </c>
      <c r="F6" s="23" t="n">
        <v>6005</v>
      </c>
      <c r="G6" s="23" t="inlineStr">
        <is>
          <t>B</t>
        </is>
      </c>
      <c r="H6" s="23" t="n">
        <v>554</v>
      </c>
      <c r="I6" s="23" t="n">
        <v>1125</v>
      </c>
      <c r="J6" s="23" t="inlineStr">
        <is>
          <t>2024-07-26</t>
        </is>
      </c>
      <c r="K6" s="23" t="n">
        <v>541</v>
      </c>
      <c r="L6" s="23" t="inlineStr">
        <is>
          <t>2021-08-24</t>
        </is>
      </c>
      <c r="M6" s="23" t="n">
        <v>1608</v>
      </c>
      <c r="N6" s="23" t="n">
        <v>11.5</v>
      </c>
      <c r="O6" s="23" t="inlineStr">
        <is>
          <t>Aktif</t>
        </is>
      </c>
    </row>
    <row r="7">
      <c r="A7" s="23" t="inlineStr">
        <is>
          <t>TC-JJC82</t>
        </is>
      </c>
      <c r="B7" s="23" t="inlineStr">
        <is>
          <t>Boeing 777-300ER</t>
        </is>
      </c>
      <c r="C7" s="23" t="inlineStr">
        <is>
          <t>WIDE</t>
        </is>
      </c>
      <c r="D7" s="23" t="inlineStr">
        <is>
          <t>2024-01-19</t>
        </is>
      </c>
      <c r="E7" s="23" t="n">
        <v>19501</v>
      </c>
      <c r="F7" s="23" t="n">
        <v>2239</v>
      </c>
      <c r="G7" s="23" t="inlineStr">
        <is>
          <t>B</t>
        </is>
      </c>
      <c r="H7" s="23" t="n">
        <v>1233</v>
      </c>
      <c r="I7" s="23" t="n">
        <v>935</v>
      </c>
      <c r="J7" s="23" t="inlineStr">
        <is>
          <t>2025-03-12</t>
        </is>
      </c>
      <c r="K7" s="23" t="n">
        <v>312</v>
      </c>
      <c r="L7" s="23" t="inlineStr">
        <is>
          <t>2024-11-29</t>
        </is>
      </c>
      <c r="M7" s="23" t="n">
        <v>415</v>
      </c>
      <c r="N7" s="23" t="n">
        <v>8.6</v>
      </c>
      <c r="O7" s="23" t="inlineStr">
        <is>
          <t>Bakımda</t>
        </is>
      </c>
    </row>
    <row r="8">
      <c r="A8" s="23" t="inlineStr">
        <is>
          <t>TC-JJD67</t>
        </is>
      </c>
      <c r="B8" s="23" t="inlineStr">
        <is>
          <t>Boeing 777-300ER</t>
        </is>
      </c>
      <c r="C8" s="23" t="inlineStr">
        <is>
          <t>WIDE</t>
        </is>
      </c>
      <c r="D8" s="23" t="inlineStr">
        <is>
          <t>2012-01-22</t>
        </is>
      </c>
      <c r="E8" s="23" t="n">
        <v>29518</v>
      </c>
      <c r="F8" s="23" t="n">
        <v>4243</v>
      </c>
      <c r="G8" s="23" t="inlineStr">
        <is>
          <t>C</t>
        </is>
      </c>
      <c r="H8" s="23" t="n">
        <v>5321</v>
      </c>
      <c r="I8" s="23" t="n">
        <v>3128</v>
      </c>
      <c r="J8" s="23" t="inlineStr">
        <is>
          <t>2024-08-14</t>
        </is>
      </c>
      <c r="K8" s="23" t="n">
        <v>522</v>
      </c>
      <c r="L8" s="23" t="inlineStr">
        <is>
          <t>2024-10-22</t>
        </is>
      </c>
      <c r="M8" s="23" t="n">
        <v>453</v>
      </c>
      <c r="N8" s="23" t="n">
        <v>14</v>
      </c>
      <c r="O8" s="23" t="inlineStr">
        <is>
          <t>Bakımda</t>
        </is>
      </c>
    </row>
    <row r="9">
      <c r="A9" s="23" t="inlineStr">
        <is>
          <t>TC-JJD82</t>
        </is>
      </c>
      <c r="B9" s="23" t="inlineStr">
        <is>
          <t>Boeing 777-300ER</t>
        </is>
      </c>
      <c r="C9" s="23" t="inlineStr">
        <is>
          <t>WIDE</t>
        </is>
      </c>
      <c r="D9" s="23" t="inlineStr">
        <is>
          <t>2014-01-21</t>
        </is>
      </c>
      <c r="E9" s="23" t="n">
        <v>21104</v>
      </c>
      <c r="F9" s="23" t="n">
        <v>2815</v>
      </c>
      <c r="G9" s="23" t="inlineStr">
        <is>
          <t>C</t>
        </is>
      </c>
      <c r="H9" s="23" t="n">
        <v>3265</v>
      </c>
      <c r="I9" s="23" t="n">
        <v>1354</v>
      </c>
      <c r="J9" s="23" t="inlineStr">
        <is>
          <t>2024-08-26</t>
        </is>
      </c>
      <c r="K9" s="23" t="n">
        <v>510</v>
      </c>
      <c r="L9" s="23" t="inlineStr">
        <is>
          <t>2020-08-08</t>
        </is>
      </c>
      <c r="M9" s="23" t="n">
        <v>1989</v>
      </c>
      <c r="N9" s="23" t="n">
        <v>11.9</v>
      </c>
      <c r="O9" s="23" t="inlineStr">
        <is>
          <t>Bakımda</t>
        </is>
      </c>
    </row>
    <row r="10">
      <c r="A10" s="23" t="inlineStr">
        <is>
          <t>TC-JJE23</t>
        </is>
      </c>
      <c r="B10" s="23" t="inlineStr">
        <is>
          <t>Boeing 777-300ER</t>
        </is>
      </c>
      <c r="C10" s="23" t="inlineStr">
        <is>
          <t>WIDE</t>
        </is>
      </c>
      <c r="D10" s="23" t="inlineStr">
        <is>
          <t>2023-01-19</t>
        </is>
      </c>
      <c r="E10" s="23" t="n">
        <v>24361</v>
      </c>
      <c r="F10" s="23" t="n">
        <v>3440</v>
      </c>
      <c r="G10" s="23" t="inlineStr">
        <is>
          <t>A</t>
        </is>
      </c>
      <c r="H10" s="23" t="n">
        <v>195</v>
      </c>
      <c r="I10" s="23" t="n">
        <v>208</v>
      </c>
      <c r="J10" s="23" t="inlineStr">
        <is>
          <t>2025-02-23</t>
        </is>
      </c>
      <c r="K10" s="23" t="n">
        <v>329</v>
      </c>
      <c r="L10" s="23" t="inlineStr">
        <is>
          <t>2023-09-25</t>
        </is>
      </c>
      <c r="M10" s="23" t="n">
        <v>846</v>
      </c>
      <c r="N10" s="23" t="n">
        <v>12.3</v>
      </c>
      <c r="O10" s="23" t="inlineStr">
        <is>
          <t>Bakımda</t>
        </is>
      </c>
    </row>
    <row r="11">
      <c r="A11" s="23" t="inlineStr">
        <is>
          <t>TC-JJE31</t>
        </is>
      </c>
      <c r="B11" s="23" t="inlineStr">
        <is>
          <t>Boeing 777-300ER</t>
        </is>
      </c>
      <c r="C11" s="23" t="inlineStr">
        <is>
          <t>WIDE</t>
        </is>
      </c>
      <c r="D11" s="23" t="inlineStr">
        <is>
          <t>2013-01-21</t>
        </is>
      </c>
      <c r="E11" s="23" t="n">
        <v>28080</v>
      </c>
      <c r="F11" s="23" t="n">
        <v>4803</v>
      </c>
      <c r="G11" s="23" t="inlineStr">
        <is>
          <t>C</t>
        </is>
      </c>
      <c r="H11" s="23" t="n">
        <v>4500</v>
      </c>
      <c r="I11" s="23" t="n">
        <v>1053</v>
      </c>
      <c r="J11" s="23" t="inlineStr">
        <is>
          <t>2024-07-02</t>
        </is>
      </c>
      <c r="K11" s="23" t="n">
        <v>565</v>
      </c>
      <c r="L11" s="23" t="inlineStr">
        <is>
          <t>2021-01-04</t>
        </is>
      </c>
      <c r="M11" s="23" t="n">
        <v>1840</v>
      </c>
      <c r="N11" s="23" t="n">
        <v>10.2</v>
      </c>
      <c r="O11" s="23" t="inlineStr">
        <is>
          <t>Aktif</t>
        </is>
      </c>
    </row>
    <row r="12">
      <c r="A12" s="23" t="inlineStr">
        <is>
          <t>TC-JJF54</t>
        </is>
      </c>
      <c r="B12" s="23" t="inlineStr">
        <is>
          <t>Boeing 777-300ER</t>
        </is>
      </c>
      <c r="C12" s="23" t="inlineStr">
        <is>
          <t>WIDE</t>
        </is>
      </c>
      <c r="D12" s="23" t="inlineStr">
        <is>
          <t>2013-01-21</t>
        </is>
      </c>
      <c r="E12" s="23" t="n">
        <v>36205</v>
      </c>
      <c r="F12" s="23" t="n">
        <v>6596</v>
      </c>
      <c r="G12" s="23" t="inlineStr">
        <is>
          <t>C</t>
        </is>
      </c>
      <c r="H12" s="23" t="n">
        <v>4206</v>
      </c>
      <c r="I12" s="23" t="n">
        <v>1606</v>
      </c>
      <c r="J12" s="23" t="inlineStr">
        <is>
          <t>2025-11-01</t>
        </is>
      </c>
      <c r="K12" s="23" t="n">
        <v>78</v>
      </c>
      <c r="L12" s="23" t="inlineStr">
        <is>
          <t>2024-01-08</t>
        </is>
      </c>
      <c r="M12" s="23" t="n">
        <v>741</v>
      </c>
      <c r="N12" s="23" t="n">
        <v>12.5</v>
      </c>
      <c r="O12" s="23" t="inlineStr">
        <is>
          <t>Aktif</t>
        </is>
      </c>
    </row>
    <row r="13">
      <c r="A13" s="23" t="inlineStr">
        <is>
          <t>TC-JJF95</t>
        </is>
      </c>
      <c r="B13" s="23" t="inlineStr">
        <is>
          <t>Boeing 777-300ER</t>
        </is>
      </c>
      <c r="C13" s="23" t="inlineStr">
        <is>
          <t>WIDE</t>
        </is>
      </c>
      <c r="D13" s="23" t="inlineStr">
        <is>
          <t>2018-01-20</t>
        </is>
      </c>
      <c r="E13" s="23" t="n">
        <v>8179</v>
      </c>
      <c r="F13" s="23" t="n">
        <v>927</v>
      </c>
      <c r="G13" s="23" t="inlineStr">
        <is>
          <t>A</t>
        </is>
      </c>
      <c r="H13" s="23" t="n">
        <v>286</v>
      </c>
      <c r="I13" s="23" t="n">
        <v>64</v>
      </c>
      <c r="J13" s="23" t="inlineStr">
        <is>
          <t>2025-08-07</t>
        </is>
      </c>
      <c r="K13" s="23" t="n">
        <v>164</v>
      </c>
      <c r="L13" s="23" t="inlineStr">
        <is>
          <t>2025-11-24</t>
        </is>
      </c>
      <c r="M13" s="23" t="n">
        <v>55</v>
      </c>
      <c r="N13" s="23" t="n">
        <v>10</v>
      </c>
      <c r="O13" s="23" t="inlineStr">
        <is>
          <t>Aktif</t>
        </is>
      </c>
    </row>
    <row r="14">
      <c r="A14" s="23" t="inlineStr">
        <is>
          <t>TC-JJG12</t>
        </is>
      </c>
      <c r="B14" s="23" t="inlineStr">
        <is>
          <t>Boeing 777-300ER</t>
        </is>
      </c>
      <c r="C14" s="23" t="inlineStr">
        <is>
          <t>WIDE</t>
        </is>
      </c>
      <c r="D14" s="23" t="inlineStr">
        <is>
          <t>2014-01-21</t>
        </is>
      </c>
      <c r="E14" s="23" t="n">
        <v>27483</v>
      </c>
      <c r="F14" s="23" t="n">
        <v>3335</v>
      </c>
      <c r="G14" s="23" t="inlineStr">
        <is>
          <t>A</t>
        </is>
      </c>
      <c r="H14" s="23" t="n">
        <v>299</v>
      </c>
      <c r="I14" s="23" t="n">
        <v>294</v>
      </c>
      <c r="J14" s="23" t="inlineStr">
        <is>
          <t>2025-07-14</t>
        </is>
      </c>
      <c r="K14" s="23" t="n">
        <v>188</v>
      </c>
      <c r="L14" s="23" t="inlineStr">
        <is>
          <t>2021-12-10</t>
        </is>
      </c>
      <c r="M14" s="23" t="n">
        <v>1500</v>
      </c>
      <c r="N14" s="23" t="n">
        <v>8.6</v>
      </c>
      <c r="O14" s="23" t="inlineStr">
        <is>
          <t>Bakımda</t>
        </is>
      </c>
    </row>
    <row r="15">
      <c r="A15" s="23" t="inlineStr">
        <is>
          <t>TC-JJG17</t>
        </is>
      </c>
      <c r="B15" s="23" t="inlineStr">
        <is>
          <t>Boeing 777-300ER</t>
        </is>
      </c>
      <c r="C15" s="23" t="inlineStr">
        <is>
          <t>WIDE</t>
        </is>
      </c>
      <c r="D15" s="23" t="inlineStr">
        <is>
          <t>2015-01-21</t>
        </is>
      </c>
      <c r="E15" s="23" t="n">
        <v>45490</v>
      </c>
      <c r="F15" s="23" t="n">
        <v>5555</v>
      </c>
      <c r="G15" s="23" t="inlineStr">
        <is>
          <t>B</t>
        </is>
      </c>
      <c r="H15" s="23" t="n">
        <v>1450</v>
      </c>
      <c r="I15" s="23" t="n">
        <v>1079</v>
      </c>
      <c r="J15" s="23" t="inlineStr">
        <is>
          <t>2025-12-23</t>
        </is>
      </c>
      <c r="K15" s="23" t="n">
        <v>26</v>
      </c>
      <c r="L15" s="23" t="inlineStr">
        <is>
          <t>2025-09-04</t>
        </is>
      </c>
      <c r="M15" s="23" t="n">
        <v>136</v>
      </c>
      <c r="N15" s="23" t="n">
        <v>10.4</v>
      </c>
      <c r="O15" s="23" t="inlineStr">
        <is>
          <t>Aktif</t>
        </is>
      </c>
    </row>
    <row r="16">
      <c r="A16" s="23" t="inlineStr">
        <is>
          <t>TC-JJH12</t>
        </is>
      </c>
      <c r="B16" s="23" t="inlineStr">
        <is>
          <t>Boeing 777-300ER</t>
        </is>
      </c>
      <c r="C16" s="23" t="inlineStr">
        <is>
          <t>WIDE</t>
        </is>
      </c>
      <c r="D16" s="23" t="inlineStr">
        <is>
          <t>2016-01-21</t>
        </is>
      </c>
      <c r="E16" s="23" t="n">
        <v>39695</v>
      </c>
      <c r="F16" s="23" t="n">
        <v>4609</v>
      </c>
      <c r="G16" s="23" t="inlineStr">
        <is>
          <t>B</t>
        </is>
      </c>
      <c r="H16" s="23" t="n">
        <v>135</v>
      </c>
      <c r="I16" s="23" t="n">
        <v>1108</v>
      </c>
      <c r="J16" s="23" t="inlineStr">
        <is>
          <t>2024-10-25</t>
        </is>
      </c>
      <c r="K16" s="23" t="n">
        <v>450</v>
      </c>
      <c r="L16" s="23" t="inlineStr">
        <is>
          <t>2019-12-06</t>
        </is>
      </c>
      <c r="M16" s="23" t="n">
        <v>2235</v>
      </c>
      <c r="N16" s="23" t="n">
        <v>6.9</v>
      </c>
      <c r="O16" s="23" t="inlineStr">
        <is>
          <t>Aktif</t>
        </is>
      </c>
    </row>
    <row r="17">
      <c r="A17" s="23" t="inlineStr">
        <is>
          <t>TC-JJH69</t>
        </is>
      </c>
      <c r="B17" s="23" t="inlineStr">
        <is>
          <t>Boeing 777-300ER</t>
        </is>
      </c>
      <c r="C17" s="23" t="inlineStr">
        <is>
          <t>WIDE</t>
        </is>
      </c>
      <c r="D17" s="23" t="inlineStr">
        <is>
          <t>2014-01-21</t>
        </is>
      </c>
      <c r="E17" s="23" t="n">
        <v>20194</v>
      </c>
      <c r="F17" s="23" t="n">
        <v>2246</v>
      </c>
      <c r="G17" s="23" t="inlineStr">
        <is>
          <t>A</t>
        </is>
      </c>
      <c r="H17" s="23" t="n">
        <v>240</v>
      </c>
      <c r="I17" s="23" t="n">
        <v>357</v>
      </c>
      <c r="J17" s="23" t="inlineStr">
        <is>
          <t>2024-10-23</t>
        </is>
      </c>
      <c r="K17" s="23" t="n">
        <v>452</v>
      </c>
      <c r="L17" s="23" t="inlineStr">
        <is>
          <t>2023-01-12</t>
        </is>
      </c>
      <c r="M17" s="23" t="n">
        <v>1102</v>
      </c>
      <c r="N17" s="23" t="n">
        <v>11.9</v>
      </c>
      <c r="O17" s="23" t="inlineStr">
        <is>
          <t>Aktif</t>
        </is>
      </c>
    </row>
    <row r="18">
      <c r="A18" s="23" t="inlineStr">
        <is>
          <t>TC-JJI67</t>
        </is>
      </c>
      <c r="B18" s="23" t="inlineStr">
        <is>
          <t>Boeing 777-300ER</t>
        </is>
      </c>
      <c r="C18" s="23" t="inlineStr">
        <is>
          <t>WIDE</t>
        </is>
      </c>
      <c r="D18" s="23" t="inlineStr">
        <is>
          <t>2024-01-19</t>
        </is>
      </c>
      <c r="E18" s="23" t="n">
        <v>43810</v>
      </c>
      <c r="F18" s="23" t="n">
        <v>6129</v>
      </c>
      <c r="G18" s="23" t="inlineStr">
        <is>
          <t>C</t>
        </is>
      </c>
      <c r="H18" s="23" t="n">
        <v>2259</v>
      </c>
      <c r="I18" s="23" t="n">
        <v>1142</v>
      </c>
      <c r="J18" s="23" t="inlineStr">
        <is>
          <t>2025-03-29</t>
        </is>
      </c>
      <c r="K18" s="23" t="n">
        <v>295</v>
      </c>
      <c r="L18" s="23" t="inlineStr">
        <is>
          <t>2019-07-24</t>
        </is>
      </c>
      <c r="M18" s="23" t="n">
        <v>2370</v>
      </c>
      <c r="N18" s="23" t="n">
        <v>12.5</v>
      </c>
      <c r="O18" s="23" t="inlineStr">
        <is>
          <t>Aktif</t>
        </is>
      </c>
    </row>
    <row r="19">
      <c r="A19" s="23" t="inlineStr">
        <is>
          <t>TC-JJI77</t>
        </is>
      </c>
      <c r="B19" s="23" t="inlineStr">
        <is>
          <t>Boeing 777-300ER</t>
        </is>
      </c>
      <c r="C19" s="23" t="inlineStr">
        <is>
          <t>WIDE</t>
        </is>
      </c>
      <c r="D19" s="23" t="inlineStr">
        <is>
          <t>2015-01-21</t>
        </is>
      </c>
      <c r="E19" s="23" t="n">
        <v>14758</v>
      </c>
      <c r="F19" s="23" t="n">
        <v>2378</v>
      </c>
      <c r="G19" s="23" t="inlineStr">
        <is>
          <t>C</t>
        </is>
      </c>
      <c r="H19" s="23" t="n">
        <v>2567</v>
      </c>
      <c r="I19" s="23" t="n">
        <v>1751</v>
      </c>
      <c r="J19" s="23" t="inlineStr">
        <is>
          <t>2025-04-10</t>
        </is>
      </c>
      <c r="K19" s="23" t="n">
        <v>283</v>
      </c>
      <c r="L19" s="23" t="inlineStr">
        <is>
          <t>2019-10-11</t>
        </is>
      </c>
      <c r="M19" s="23" t="n">
        <v>2291</v>
      </c>
      <c r="N19" s="23" t="n">
        <v>6.6</v>
      </c>
      <c r="O19" s="23" t="inlineStr">
        <is>
          <t>Bakımda</t>
        </is>
      </c>
    </row>
    <row r="20">
      <c r="A20" s="23" t="inlineStr">
        <is>
          <t>TC-JJJ68</t>
        </is>
      </c>
      <c r="B20" s="23" t="inlineStr">
        <is>
          <t>Boeing 777-300ER</t>
        </is>
      </c>
      <c r="C20" s="23" t="inlineStr">
        <is>
          <t>WIDE</t>
        </is>
      </c>
      <c r="D20" s="23" t="inlineStr">
        <is>
          <t>2013-01-21</t>
        </is>
      </c>
      <c r="E20" s="23" t="n">
        <v>42027</v>
      </c>
      <c r="F20" s="23" t="n">
        <v>6761</v>
      </c>
      <c r="G20" s="23" t="inlineStr">
        <is>
          <t>A</t>
        </is>
      </c>
      <c r="H20" s="23" t="n">
        <v>357</v>
      </c>
      <c r="I20" s="23" t="n">
        <v>380</v>
      </c>
      <c r="J20" s="23" t="inlineStr">
        <is>
          <t>2025-10-18</t>
        </is>
      </c>
      <c r="K20" s="23" t="n">
        <v>92</v>
      </c>
      <c r="L20" s="23" t="inlineStr">
        <is>
          <t>2020-08-06</t>
        </is>
      </c>
      <c r="M20" s="23" t="n">
        <v>1991</v>
      </c>
      <c r="N20" s="23" t="n">
        <v>12.1</v>
      </c>
      <c r="O20" s="23" t="inlineStr">
        <is>
          <t>Aktif</t>
        </is>
      </c>
    </row>
    <row r="21">
      <c r="A21" s="23" t="inlineStr">
        <is>
          <t>TC-JJK61</t>
        </is>
      </c>
      <c r="B21" s="23" t="inlineStr">
        <is>
          <t>Boeing 777-300ER</t>
        </is>
      </c>
      <c r="C21" s="23" t="inlineStr">
        <is>
          <t>WIDE</t>
        </is>
      </c>
      <c r="D21" s="23" t="inlineStr">
        <is>
          <t>2017-01-20</t>
        </is>
      </c>
      <c r="E21" s="23" t="n">
        <v>29855</v>
      </c>
      <c r="F21" s="23" t="n">
        <v>4335</v>
      </c>
      <c r="G21" s="23" t="inlineStr">
        <is>
          <t>A</t>
        </is>
      </c>
      <c r="H21" s="23" t="n">
        <v>59</v>
      </c>
      <c r="I21" s="23" t="n">
        <v>117</v>
      </c>
      <c r="J21" s="23" t="inlineStr">
        <is>
          <t>2025-10-16</t>
        </is>
      </c>
      <c r="K21" s="23" t="n">
        <v>94</v>
      </c>
      <c r="L21" s="23" t="inlineStr">
        <is>
          <t>2022-09-30</t>
        </is>
      </c>
      <c r="M21" s="23" t="n">
        <v>1206</v>
      </c>
      <c r="N21" s="23" t="n">
        <v>11.2</v>
      </c>
      <c r="O21" s="23" t="inlineStr">
        <is>
          <t>Aktif</t>
        </is>
      </c>
    </row>
    <row r="22">
      <c r="A22" s="23" t="inlineStr">
        <is>
          <t>TC-JJL82</t>
        </is>
      </c>
      <c r="B22" s="23" t="inlineStr">
        <is>
          <t>Boeing 777-300ER</t>
        </is>
      </c>
      <c r="C22" s="23" t="inlineStr">
        <is>
          <t>WIDE</t>
        </is>
      </c>
      <c r="D22" s="23" t="inlineStr">
        <is>
          <t>2024-01-19</t>
        </is>
      </c>
      <c r="E22" s="23" t="n">
        <v>11249</v>
      </c>
      <c r="F22" s="23" t="n">
        <v>1187</v>
      </c>
      <c r="G22" s="23" t="inlineStr">
        <is>
          <t>A</t>
        </is>
      </c>
      <c r="H22" s="23" t="n">
        <v>266</v>
      </c>
      <c r="I22" s="23" t="n">
        <v>320</v>
      </c>
      <c r="J22" s="23" t="inlineStr">
        <is>
          <t>2024-09-09</t>
        </is>
      </c>
      <c r="K22" s="23" t="n">
        <v>496</v>
      </c>
      <c r="L22" s="23" t="inlineStr">
        <is>
          <t>2024-01-08</t>
        </is>
      </c>
      <c r="M22" s="23" t="n">
        <v>741</v>
      </c>
      <c r="N22" s="23" t="n">
        <v>13.4</v>
      </c>
      <c r="O22" s="23" t="inlineStr">
        <is>
          <t>Aktif</t>
        </is>
      </c>
    </row>
    <row r="23">
      <c r="A23" s="23" t="inlineStr">
        <is>
          <t>TC-JJM79</t>
        </is>
      </c>
      <c r="B23" s="23" t="inlineStr">
        <is>
          <t>Boeing 777-300ER</t>
        </is>
      </c>
      <c r="C23" s="23" t="inlineStr">
        <is>
          <t>WIDE</t>
        </is>
      </c>
      <c r="D23" s="23" t="inlineStr">
        <is>
          <t>2022-01-19</t>
        </is>
      </c>
      <c r="E23" s="23" t="n">
        <v>41930</v>
      </c>
      <c r="F23" s="23" t="n">
        <v>5057</v>
      </c>
      <c r="G23" s="23" t="inlineStr">
        <is>
          <t>B</t>
        </is>
      </c>
      <c r="H23" s="23" t="n">
        <v>132</v>
      </c>
      <c r="I23" s="23" t="n">
        <v>504</v>
      </c>
      <c r="J23" s="23" t="inlineStr">
        <is>
          <t>2025-08-14</t>
        </is>
      </c>
      <c r="K23" s="23" t="n">
        <v>157</v>
      </c>
      <c r="L23" s="23" t="inlineStr">
        <is>
          <t>2019-10-11</t>
        </is>
      </c>
      <c r="M23" s="23" t="n">
        <v>2291</v>
      </c>
      <c r="N23" s="23" t="n">
        <v>13.4</v>
      </c>
      <c r="O23" s="23" t="inlineStr">
        <is>
          <t>Aktif</t>
        </is>
      </c>
    </row>
    <row r="24">
      <c r="A24" s="23" t="inlineStr">
        <is>
          <t>TC-JJN30</t>
        </is>
      </c>
      <c r="B24" s="23" t="inlineStr">
        <is>
          <t>Boeing 777-300ER</t>
        </is>
      </c>
      <c r="C24" s="23" t="inlineStr">
        <is>
          <t>WIDE</t>
        </is>
      </c>
      <c r="D24" s="23" t="inlineStr">
        <is>
          <t>2011-01-22</t>
        </is>
      </c>
      <c r="E24" s="23" t="n">
        <v>41959</v>
      </c>
      <c r="F24" s="23" t="n">
        <v>6765</v>
      </c>
      <c r="G24" s="23" t="inlineStr">
        <is>
          <t>B</t>
        </is>
      </c>
      <c r="H24" s="23" t="n">
        <v>1486</v>
      </c>
      <c r="I24" s="23" t="n">
        <v>1187</v>
      </c>
      <c r="J24" s="23" t="inlineStr">
        <is>
          <t>2025-02-03</t>
        </is>
      </c>
      <c r="K24" s="23" t="n">
        <v>349</v>
      </c>
      <c r="L24" s="23" t="inlineStr">
        <is>
          <t>2022-12-15</t>
        </is>
      </c>
      <c r="M24" s="23" t="n">
        <v>1130</v>
      </c>
      <c r="N24" s="23" t="n">
        <v>12.3</v>
      </c>
      <c r="O24" s="23" t="inlineStr">
        <is>
          <t>Aktif</t>
        </is>
      </c>
    </row>
    <row r="25">
      <c r="A25" s="23" t="inlineStr">
        <is>
          <t>TC-JJO74</t>
        </is>
      </c>
      <c r="B25" s="23" t="inlineStr">
        <is>
          <t>Boeing 777-300ER</t>
        </is>
      </c>
      <c r="C25" s="23" t="inlineStr">
        <is>
          <t>WIDE</t>
        </is>
      </c>
      <c r="D25" s="23" t="inlineStr">
        <is>
          <t>2018-01-20</t>
        </is>
      </c>
      <c r="E25" s="23" t="n">
        <v>27666</v>
      </c>
      <c r="F25" s="23" t="n">
        <v>5251</v>
      </c>
      <c r="G25" s="23" t="inlineStr">
        <is>
          <t>A</t>
        </is>
      </c>
      <c r="H25" s="23" t="n">
        <v>127</v>
      </c>
      <c r="I25" s="23" t="n">
        <v>204</v>
      </c>
      <c r="J25" s="23" t="inlineStr">
        <is>
          <t>2024-11-28</t>
        </is>
      </c>
      <c r="K25" s="23" t="n">
        <v>416</v>
      </c>
      <c r="L25" s="23" t="inlineStr">
        <is>
          <t>2019-10-29</t>
        </is>
      </c>
      <c r="M25" s="23" t="n">
        <v>2273</v>
      </c>
      <c r="N25" s="23" t="n">
        <v>6.2</v>
      </c>
      <c r="O25" s="23" t="inlineStr">
        <is>
          <t>Aktif</t>
        </is>
      </c>
    </row>
    <row r="26">
      <c r="A26" s="23" t="inlineStr">
        <is>
          <t>TC-JJP67</t>
        </is>
      </c>
      <c r="B26" s="23" t="inlineStr">
        <is>
          <t>Boeing 777-300ER</t>
        </is>
      </c>
      <c r="C26" s="23" t="inlineStr">
        <is>
          <t>WIDE</t>
        </is>
      </c>
      <c r="D26" s="23" t="inlineStr">
        <is>
          <t>2016-01-21</t>
        </is>
      </c>
      <c r="E26" s="23" t="n">
        <v>37152</v>
      </c>
      <c r="F26" s="23" t="n">
        <v>6050</v>
      </c>
      <c r="G26" s="23" t="inlineStr">
        <is>
          <t>B</t>
        </is>
      </c>
      <c r="H26" s="23" t="n">
        <v>984</v>
      </c>
      <c r="I26" s="23" t="n">
        <v>460</v>
      </c>
      <c r="J26" s="23" t="inlineStr">
        <is>
          <t>2024-12-15</t>
        </is>
      </c>
      <c r="K26" s="23" t="n">
        <v>399</v>
      </c>
      <c r="L26" s="23" t="inlineStr">
        <is>
          <t>2025-08-13</t>
        </is>
      </c>
      <c r="M26" s="23" t="n">
        <v>158</v>
      </c>
      <c r="N26" s="23" t="n">
        <v>8.4</v>
      </c>
      <c r="O26" s="23" t="inlineStr">
        <is>
          <t>Aktif</t>
        </is>
      </c>
    </row>
    <row r="27">
      <c r="A27" s="23" t="inlineStr">
        <is>
          <t>TC-JJQ19</t>
        </is>
      </c>
      <c r="B27" s="23" t="inlineStr">
        <is>
          <t>Boeing 777-300ER</t>
        </is>
      </c>
      <c r="C27" s="23" t="inlineStr">
        <is>
          <t>WIDE</t>
        </is>
      </c>
      <c r="D27" s="23" t="inlineStr">
        <is>
          <t>2018-01-20</t>
        </is>
      </c>
      <c r="E27" s="23" t="n">
        <v>10376</v>
      </c>
      <c r="F27" s="23" t="n">
        <v>1636</v>
      </c>
      <c r="G27" s="23" t="inlineStr">
        <is>
          <t>C</t>
        </is>
      </c>
      <c r="H27" s="23" t="n">
        <v>1763</v>
      </c>
      <c r="I27" s="23" t="n">
        <v>3329</v>
      </c>
      <c r="J27" s="23" t="inlineStr">
        <is>
          <t>2024-12-06</t>
        </is>
      </c>
      <c r="K27" s="23" t="n">
        <v>408</v>
      </c>
      <c r="L27" s="23" t="inlineStr">
        <is>
          <t>2023-10-19</t>
        </is>
      </c>
      <c r="M27" s="23" t="n">
        <v>822</v>
      </c>
      <c r="N27" s="23" t="n">
        <v>6.9</v>
      </c>
      <c r="O27" s="23" t="inlineStr">
        <is>
          <t>Aktif</t>
        </is>
      </c>
    </row>
    <row r="28">
      <c r="A28" s="23" t="inlineStr">
        <is>
          <t>TC-JJR49</t>
        </is>
      </c>
      <c r="B28" s="23" t="inlineStr">
        <is>
          <t>Boeing 777-300ER</t>
        </is>
      </c>
      <c r="C28" s="23" t="inlineStr">
        <is>
          <t>WIDE</t>
        </is>
      </c>
      <c r="D28" s="23" t="inlineStr">
        <is>
          <t>2020-01-20</t>
        </is>
      </c>
      <c r="E28" s="23" t="n">
        <v>34146</v>
      </c>
      <c r="F28" s="23" t="n">
        <v>5021</v>
      </c>
      <c r="G28" s="23" t="inlineStr">
        <is>
          <t>A</t>
        </is>
      </c>
      <c r="H28" s="23" t="n">
        <v>185</v>
      </c>
      <c r="I28" s="23" t="n">
        <v>74</v>
      </c>
      <c r="J28" s="23" t="inlineStr">
        <is>
          <t>2025-07-01</t>
        </is>
      </c>
      <c r="K28" s="23" t="n">
        <v>201</v>
      </c>
      <c r="L28" s="23" t="inlineStr">
        <is>
          <t>2022-09-27</t>
        </is>
      </c>
      <c r="M28" s="23" t="n">
        <v>1209</v>
      </c>
      <c r="N28" s="23" t="n">
        <v>10.5</v>
      </c>
      <c r="O28" s="23" t="inlineStr">
        <is>
          <t>Bakımda</t>
        </is>
      </c>
    </row>
    <row r="29">
      <c r="A29" s="23" t="inlineStr">
        <is>
          <t>TC-JJS23</t>
        </is>
      </c>
      <c r="B29" s="23" t="inlineStr">
        <is>
          <t>Boeing 777-300ER</t>
        </is>
      </c>
      <c r="C29" s="23" t="inlineStr">
        <is>
          <t>WIDE</t>
        </is>
      </c>
      <c r="D29" s="23" t="inlineStr">
        <is>
          <t>2016-01-21</t>
        </is>
      </c>
      <c r="E29" s="23" t="n">
        <v>6721</v>
      </c>
      <c r="F29" s="23" t="n">
        <v>1233</v>
      </c>
      <c r="G29" s="23" t="inlineStr">
        <is>
          <t>A</t>
        </is>
      </c>
      <c r="H29" s="23" t="n">
        <v>382</v>
      </c>
      <c r="I29" s="23" t="n">
        <v>227</v>
      </c>
      <c r="J29" s="23" t="inlineStr">
        <is>
          <t>2025-12-27</t>
        </is>
      </c>
      <c r="K29" s="23" t="n">
        <v>22</v>
      </c>
      <c r="L29" s="23" t="inlineStr">
        <is>
          <t>2023-10-06</t>
        </is>
      </c>
      <c r="M29" s="23" t="n">
        <v>835</v>
      </c>
      <c r="N29" s="23" t="n">
        <v>9.1</v>
      </c>
      <c r="O29" s="23" t="inlineStr">
        <is>
          <t>Aktif</t>
        </is>
      </c>
    </row>
    <row r="30">
      <c r="A30" s="23" t="inlineStr">
        <is>
          <t>TC-JJT81</t>
        </is>
      </c>
      <c r="B30" s="23" t="inlineStr">
        <is>
          <t>Boeing 777-300ER</t>
        </is>
      </c>
      <c r="C30" s="23" t="inlineStr">
        <is>
          <t>WIDE</t>
        </is>
      </c>
      <c r="D30" s="23" t="inlineStr">
        <is>
          <t>2022-01-19</t>
        </is>
      </c>
      <c r="E30" s="23" t="n">
        <v>20908</v>
      </c>
      <c r="F30" s="23" t="n">
        <v>2660</v>
      </c>
      <c r="G30" s="23" t="inlineStr">
        <is>
          <t>C</t>
        </is>
      </c>
      <c r="H30" s="23" t="n">
        <v>3618</v>
      </c>
      <c r="I30" s="23" t="n">
        <v>994</v>
      </c>
      <c r="J30" s="23" t="inlineStr">
        <is>
          <t>2025-08-19</t>
        </is>
      </c>
      <c r="K30" s="23" t="n">
        <v>152</v>
      </c>
      <c r="L30" s="23" t="inlineStr">
        <is>
          <t>2023-11-03</t>
        </is>
      </c>
      <c r="M30" s="23" t="n">
        <v>807</v>
      </c>
      <c r="N30" s="23" t="n">
        <v>8.1</v>
      </c>
      <c r="O30" s="23" t="inlineStr">
        <is>
          <t>Aktif</t>
        </is>
      </c>
    </row>
    <row r="31">
      <c r="A31" s="23" t="inlineStr">
        <is>
          <t>TC-JJU18</t>
        </is>
      </c>
      <c r="B31" s="23" t="inlineStr">
        <is>
          <t>Boeing 777-300ER</t>
        </is>
      </c>
      <c r="C31" s="23" t="inlineStr">
        <is>
          <t>WIDE</t>
        </is>
      </c>
      <c r="D31" s="23" t="inlineStr">
        <is>
          <t>2018-01-20</t>
        </is>
      </c>
      <c r="E31" s="23" t="n">
        <v>15958</v>
      </c>
      <c r="F31" s="23" t="n">
        <v>2224</v>
      </c>
      <c r="G31" s="23" t="inlineStr">
        <is>
          <t>B</t>
        </is>
      </c>
      <c r="H31" s="23" t="n">
        <v>1091</v>
      </c>
      <c r="I31" s="23" t="n">
        <v>237</v>
      </c>
      <c r="J31" s="23" t="inlineStr">
        <is>
          <t>2025-01-04</t>
        </is>
      </c>
      <c r="K31" s="23" t="n">
        <v>379</v>
      </c>
      <c r="L31" s="23" t="inlineStr">
        <is>
          <t>2023-11-17</t>
        </is>
      </c>
      <c r="M31" s="23" t="n">
        <v>793</v>
      </c>
      <c r="N31" s="23" t="n">
        <v>11.8</v>
      </c>
      <c r="O31" s="23" t="inlineStr">
        <is>
          <t>Bakımda</t>
        </is>
      </c>
    </row>
    <row r="32">
      <c r="A32" s="23" t="inlineStr">
        <is>
          <t>TC-JJV86</t>
        </is>
      </c>
      <c r="B32" s="23" t="inlineStr">
        <is>
          <t>Boeing 777-300ER</t>
        </is>
      </c>
      <c r="C32" s="23" t="inlineStr">
        <is>
          <t>WIDE</t>
        </is>
      </c>
      <c r="D32" s="23" t="inlineStr">
        <is>
          <t>2023-01-19</t>
        </is>
      </c>
      <c r="E32" s="23" t="n">
        <v>45414</v>
      </c>
      <c r="F32" s="23" t="n">
        <v>7597</v>
      </c>
      <c r="G32" s="23" t="inlineStr">
        <is>
          <t>A</t>
        </is>
      </c>
      <c r="H32" s="23" t="n">
        <v>361</v>
      </c>
      <c r="I32" s="23" t="n">
        <v>33</v>
      </c>
      <c r="J32" s="23" t="inlineStr">
        <is>
          <t>2024-11-29</t>
        </is>
      </c>
      <c r="K32" s="23" t="n">
        <v>415</v>
      </c>
      <c r="L32" s="23" t="inlineStr">
        <is>
          <t>2023-08-14</t>
        </is>
      </c>
      <c r="M32" s="23" t="n">
        <v>888</v>
      </c>
      <c r="N32" s="23" t="n">
        <v>9</v>
      </c>
      <c r="O32" s="23" t="inlineStr">
        <is>
          <t>Aktif</t>
        </is>
      </c>
    </row>
    <row r="33">
      <c r="A33" s="23" t="inlineStr">
        <is>
          <t>TC-JJW66</t>
        </is>
      </c>
      <c r="B33" s="23" t="inlineStr">
        <is>
          <t>Boeing 777-300ER</t>
        </is>
      </c>
      <c r="C33" s="23" t="inlineStr">
        <is>
          <t>WIDE</t>
        </is>
      </c>
      <c r="D33" s="23" t="inlineStr">
        <is>
          <t>2011-01-22</t>
        </is>
      </c>
      <c r="E33" s="23" t="n">
        <v>26937</v>
      </c>
      <c r="F33" s="23" t="n">
        <v>3765</v>
      </c>
      <c r="G33" s="23" t="inlineStr">
        <is>
          <t>C</t>
        </is>
      </c>
      <c r="H33" s="23" t="n">
        <v>5369</v>
      </c>
      <c r="I33" s="23" t="n">
        <v>857</v>
      </c>
      <c r="J33" s="23" t="inlineStr">
        <is>
          <t>2025-03-07</t>
        </is>
      </c>
      <c r="K33" s="23" t="n">
        <v>317</v>
      </c>
      <c r="L33" s="23" t="inlineStr">
        <is>
          <t>2023-08-18</t>
        </is>
      </c>
      <c r="M33" s="23" t="n">
        <v>884</v>
      </c>
      <c r="N33" s="23" t="n">
        <v>13.6</v>
      </c>
      <c r="O33" s="23" t="inlineStr">
        <is>
          <t>Aktif</t>
        </is>
      </c>
    </row>
    <row r="34">
      <c r="A34" s="23" t="inlineStr">
        <is>
          <t>TC-JJX71</t>
        </is>
      </c>
      <c r="B34" s="23" t="inlineStr">
        <is>
          <t>Boeing 777-300ER</t>
        </is>
      </c>
      <c r="C34" s="23" t="inlineStr">
        <is>
          <t>WIDE</t>
        </is>
      </c>
      <c r="D34" s="23" t="inlineStr">
        <is>
          <t>2018-01-20</t>
        </is>
      </c>
      <c r="E34" s="23" t="n">
        <v>25590</v>
      </c>
      <c r="F34" s="23" t="n">
        <v>4345</v>
      </c>
      <c r="G34" s="23" t="inlineStr">
        <is>
          <t>B</t>
        </is>
      </c>
      <c r="H34" s="23" t="n">
        <v>696</v>
      </c>
      <c r="I34" s="23" t="n">
        <v>1085</v>
      </c>
      <c r="J34" s="23" t="inlineStr">
        <is>
          <t>2024-05-29</t>
        </is>
      </c>
      <c r="K34" s="23" t="n">
        <v>599</v>
      </c>
      <c r="L34" s="23" t="inlineStr">
        <is>
          <t>2019-11-19</t>
        </is>
      </c>
      <c r="M34" s="23" t="n">
        <v>2252</v>
      </c>
      <c r="N34" s="23" t="n">
        <v>8.6</v>
      </c>
      <c r="O34" s="23" t="inlineStr">
        <is>
          <t>Aktif</t>
        </is>
      </c>
    </row>
    <row r="35">
      <c r="A35" s="23" t="inlineStr">
        <is>
          <t>TC-JJY60</t>
        </is>
      </c>
      <c r="B35" s="23" t="inlineStr">
        <is>
          <t>Boeing 777-300ER</t>
        </is>
      </c>
      <c r="C35" s="23" t="inlineStr">
        <is>
          <t>WIDE</t>
        </is>
      </c>
      <c r="D35" s="23" t="inlineStr">
        <is>
          <t>2015-01-21</t>
        </is>
      </c>
      <c r="E35" s="23" t="n">
        <v>28921</v>
      </c>
      <c r="F35" s="23" t="n">
        <v>5192</v>
      </c>
      <c r="G35" s="23" t="inlineStr">
        <is>
          <t>A</t>
        </is>
      </c>
      <c r="H35" s="23" t="n">
        <v>234</v>
      </c>
      <c r="I35" s="23" t="n">
        <v>379</v>
      </c>
      <c r="J35" s="23" t="inlineStr">
        <is>
          <t>2024-06-24</t>
        </is>
      </c>
      <c r="K35" s="23" t="n">
        <v>573</v>
      </c>
      <c r="L35" s="23" t="inlineStr">
        <is>
          <t>2025-09-22</t>
        </is>
      </c>
      <c r="M35" s="23" t="n">
        <v>118</v>
      </c>
      <c r="N35" s="23" t="n">
        <v>13.5</v>
      </c>
      <c r="O35" s="23" t="inlineStr">
        <is>
          <t>Aktif</t>
        </is>
      </c>
    </row>
    <row r="36">
      <c r="A36" s="23" t="inlineStr">
        <is>
          <t>TC-JJZ66</t>
        </is>
      </c>
      <c r="B36" s="23" t="inlineStr">
        <is>
          <t>Boeing 777-300ER</t>
        </is>
      </c>
      <c r="C36" s="23" t="inlineStr">
        <is>
          <t>WIDE</t>
        </is>
      </c>
      <c r="D36" s="23" t="inlineStr">
        <is>
          <t>2023-01-19</t>
        </is>
      </c>
      <c r="E36" s="23" t="n">
        <v>24092</v>
      </c>
      <c r="F36" s="23" t="n">
        <v>2631</v>
      </c>
      <c r="G36" s="23" t="inlineStr">
        <is>
          <t>B</t>
        </is>
      </c>
      <c r="H36" s="23" t="n">
        <v>1478</v>
      </c>
      <c r="I36" s="23" t="n">
        <v>1102</v>
      </c>
      <c r="J36" s="23" t="inlineStr">
        <is>
          <t>2025-08-19</t>
        </is>
      </c>
      <c r="K36" s="23" t="n">
        <v>152</v>
      </c>
      <c r="L36" s="23" t="inlineStr">
        <is>
          <t>2020-11-03</t>
        </is>
      </c>
      <c r="M36" s="23" t="n">
        <v>1902</v>
      </c>
      <c r="N36" s="23" t="n">
        <v>7.9</v>
      </c>
      <c r="O36" s="23" t="inlineStr">
        <is>
          <t>Aktif</t>
        </is>
      </c>
    </row>
    <row r="37">
      <c r="A37" s="23" t="inlineStr">
        <is>
          <t>TC-JLB91</t>
        </is>
      </c>
      <c r="B37" s="23" t="inlineStr">
        <is>
          <t>Airbus A319-100</t>
        </is>
      </c>
      <c r="C37" s="23" t="inlineStr">
        <is>
          <t>NARROW</t>
        </is>
      </c>
      <c r="D37" s="23" t="inlineStr">
        <is>
          <t>2020-01-20</t>
        </is>
      </c>
      <c r="E37" s="23" t="n">
        <v>9296</v>
      </c>
      <c r="F37" s="23" t="n">
        <v>5997</v>
      </c>
      <c r="G37" s="23" t="inlineStr">
        <is>
          <t>A</t>
        </is>
      </c>
      <c r="H37" s="23" t="n">
        <v>278</v>
      </c>
      <c r="I37" s="23" t="n">
        <v>101</v>
      </c>
      <c r="J37" s="23" t="inlineStr">
        <is>
          <t>2025-09-26</t>
        </is>
      </c>
      <c r="K37" s="23" t="n">
        <v>114</v>
      </c>
      <c r="L37" s="23" t="inlineStr">
        <is>
          <t>2020-09-02</t>
        </is>
      </c>
      <c r="M37" s="23" t="n">
        <v>1964</v>
      </c>
      <c r="N37" s="23" t="n">
        <v>6.7</v>
      </c>
      <c r="O37" s="23" t="inlineStr">
        <is>
          <t>Bakımda</t>
        </is>
      </c>
    </row>
    <row r="38">
      <c r="A38" s="23" t="inlineStr">
        <is>
          <t>TC-JLC14</t>
        </is>
      </c>
      <c r="B38" s="23" t="inlineStr">
        <is>
          <t>Airbus A319-100</t>
        </is>
      </c>
      <c r="C38" s="23" t="inlineStr">
        <is>
          <t>NARROW</t>
        </is>
      </c>
      <c r="D38" s="23" t="inlineStr">
        <is>
          <t>2021-01-19</t>
        </is>
      </c>
      <c r="E38" s="23" t="n">
        <v>3952</v>
      </c>
      <c r="F38" s="23" t="n">
        <v>2342</v>
      </c>
      <c r="G38" s="23" t="inlineStr">
        <is>
          <t>C</t>
        </is>
      </c>
      <c r="H38" s="23" t="n">
        <v>5431</v>
      </c>
      <c r="I38" s="23" t="n">
        <v>408</v>
      </c>
      <c r="J38" s="23" t="inlineStr">
        <is>
          <t>2024-06-13</t>
        </is>
      </c>
      <c r="K38" s="23" t="n">
        <v>584</v>
      </c>
      <c r="L38" s="23" t="inlineStr">
        <is>
          <t>2024-08-05</t>
        </is>
      </c>
      <c r="M38" s="23" t="n">
        <v>531</v>
      </c>
      <c r="N38" s="23" t="n">
        <v>11.6</v>
      </c>
      <c r="O38" s="23" t="inlineStr">
        <is>
          <t>Bakımda</t>
        </is>
      </c>
    </row>
    <row r="39">
      <c r="A39" s="23" t="inlineStr">
        <is>
          <t>TC-JLD38</t>
        </is>
      </c>
      <c r="B39" s="23" t="inlineStr">
        <is>
          <t>Airbus A319-100</t>
        </is>
      </c>
      <c r="C39" s="23" t="inlineStr">
        <is>
          <t>NARROW</t>
        </is>
      </c>
      <c r="D39" s="23" t="inlineStr">
        <is>
          <t>2012-01-22</t>
        </is>
      </c>
      <c r="E39" s="23" t="n">
        <v>31439</v>
      </c>
      <c r="F39" s="23" t="n">
        <v>11737</v>
      </c>
      <c r="G39" s="23" t="inlineStr">
        <is>
          <t>A</t>
        </is>
      </c>
      <c r="H39" s="23" t="n">
        <v>213</v>
      </c>
      <c r="I39" s="23" t="n">
        <v>246</v>
      </c>
      <c r="J39" s="23" t="inlineStr">
        <is>
          <t>2025-01-25</t>
        </is>
      </c>
      <c r="K39" s="23" t="n">
        <v>358</v>
      </c>
      <c r="L39" s="23" t="inlineStr">
        <is>
          <t>2023-12-11</t>
        </is>
      </c>
      <c r="M39" s="23" t="n">
        <v>769</v>
      </c>
      <c r="N39" s="23" t="n">
        <v>7.7</v>
      </c>
      <c r="O39" s="23" t="inlineStr">
        <is>
          <t>Aktif</t>
        </is>
      </c>
    </row>
    <row r="40">
      <c r="A40" s="23" t="inlineStr">
        <is>
          <t>TC-JLE23</t>
        </is>
      </c>
      <c r="B40" s="23" t="inlineStr">
        <is>
          <t>Airbus A319-100</t>
        </is>
      </c>
      <c r="C40" s="23" t="inlineStr">
        <is>
          <t>NARROW</t>
        </is>
      </c>
      <c r="D40" s="23" t="inlineStr">
        <is>
          <t>2019-01-20</t>
        </is>
      </c>
      <c r="E40" s="23" t="n">
        <v>8078</v>
      </c>
      <c r="F40" s="23" t="n">
        <v>3574</v>
      </c>
      <c r="G40" s="23" t="inlineStr">
        <is>
          <t>B</t>
        </is>
      </c>
      <c r="H40" s="23" t="n">
        <v>1336</v>
      </c>
      <c r="I40" s="23" t="n">
        <v>621</v>
      </c>
      <c r="J40" s="23" t="inlineStr">
        <is>
          <t>2025-11-25</t>
        </is>
      </c>
      <c r="K40" s="23" t="n">
        <v>54</v>
      </c>
      <c r="L40" s="23" t="inlineStr">
        <is>
          <t>2020-09-24</t>
        </is>
      </c>
      <c r="M40" s="23" t="n">
        <v>1942</v>
      </c>
      <c r="N40" s="23" t="n">
        <v>10.3</v>
      </c>
      <c r="O40" s="23" t="inlineStr">
        <is>
          <t>Bakımda</t>
        </is>
      </c>
    </row>
    <row r="41">
      <c r="A41" s="23" t="inlineStr">
        <is>
          <t>TC-JLF20</t>
        </is>
      </c>
      <c r="B41" s="23" t="inlineStr">
        <is>
          <t>Airbus A319-100</t>
        </is>
      </c>
      <c r="C41" s="23" t="inlineStr">
        <is>
          <t>NARROW</t>
        </is>
      </c>
      <c r="D41" s="23" t="inlineStr">
        <is>
          <t>2015-01-21</t>
        </is>
      </c>
      <c r="E41" s="23" t="n">
        <v>21213</v>
      </c>
      <c r="F41" s="23" t="n">
        <v>6715</v>
      </c>
      <c r="G41" s="23" t="inlineStr">
        <is>
          <t>B</t>
        </is>
      </c>
      <c r="H41" s="23" t="n">
        <v>1282</v>
      </c>
      <c r="I41" s="23" t="n">
        <v>473</v>
      </c>
      <c r="J41" s="23" t="inlineStr">
        <is>
          <t>2025-10-29</t>
        </is>
      </c>
      <c r="K41" s="23" t="n">
        <v>81</v>
      </c>
      <c r="L41" s="23" t="inlineStr">
        <is>
          <t>2025-08-02</t>
        </is>
      </c>
      <c r="M41" s="23" t="n">
        <v>169</v>
      </c>
      <c r="N41" s="23" t="n">
        <v>7.8</v>
      </c>
      <c r="O41" s="23" t="inlineStr">
        <is>
          <t>Aktif</t>
        </is>
      </c>
    </row>
    <row r="42">
      <c r="A42" s="23" t="inlineStr">
        <is>
          <t>TC-JLG20</t>
        </is>
      </c>
      <c r="B42" s="23" t="inlineStr">
        <is>
          <t>Airbus A319-100</t>
        </is>
      </c>
      <c r="C42" s="23" t="inlineStr">
        <is>
          <t>NARROW</t>
        </is>
      </c>
      <c r="D42" s="23" t="inlineStr">
        <is>
          <t>2018-01-20</t>
        </is>
      </c>
      <c r="E42" s="23" t="n">
        <v>17256</v>
      </c>
      <c r="F42" s="23" t="n">
        <v>5337</v>
      </c>
      <c r="G42" s="23" t="inlineStr">
        <is>
          <t>B</t>
        </is>
      </c>
      <c r="H42" s="23" t="n">
        <v>1028</v>
      </c>
      <c r="I42" s="23" t="n">
        <v>827</v>
      </c>
      <c r="J42" s="23" t="inlineStr">
        <is>
          <t>2025-07-26</t>
        </is>
      </c>
      <c r="K42" s="23" t="n">
        <v>176</v>
      </c>
      <c r="L42" s="23" t="inlineStr">
        <is>
          <t>2023-10-21</t>
        </is>
      </c>
      <c r="M42" s="23" t="n">
        <v>820</v>
      </c>
      <c r="N42" s="23" t="n">
        <v>7.7</v>
      </c>
      <c r="O42" s="23" t="inlineStr">
        <is>
          <t>Aktif</t>
        </is>
      </c>
    </row>
    <row r="43">
      <c r="A43" s="23" t="inlineStr">
        <is>
          <t>TC-JNB80</t>
        </is>
      </c>
      <c r="B43" s="23" t="inlineStr">
        <is>
          <t>Airbus A330-200</t>
        </is>
      </c>
      <c r="C43" s="23" t="inlineStr">
        <is>
          <t>WIDE</t>
        </is>
      </c>
      <c r="D43" s="23" t="inlineStr">
        <is>
          <t>2017-01-20</t>
        </is>
      </c>
      <c r="E43" s="23" t="n">
        <v>26678</v>
      </c>
      <c r="F43" s="23" t="n">
        <v>3947</v>
      </c>
      <c r="G43" s="23" t="inlineStr">
        <is>
          <t>B</t>
        </is>
      </c>
      <c r="H43" s="23" t="n">
        <v>727</v>
      </c>
      <c r="I43" s="23" t="n">
        <v>594</v>
      </c>
      <c r="J43" s="23" t="inlineStr">
        <is>
          <t>2025-05-17</t>
        </is>
      </c>
      <c r="K43" s="23" t="n">
        <v>246</v>
      </c>
      <c r="L43" s="23" t="inlineStr">
        <is>
          <t>2025-11-30</t>
        </is>
      </c>
      <c r="M43" s="23" t="n">
        <v>49</v>
      </c>
      <c r="N43" s="23" t="n">
        <v>8.5</v>
      </c>
      <c r="O43" s="23" t="inlineStr">
        <is>
          <t>Aktif</t>
        </is>
      </c>
    </row>
    <row r="44">
      <c r="A44" s="23" t="inlineStr">
        <is>
          <t>TC-JNC34</t>
        </is>
      </c>
      <c r="B44" s="23" t="inlineStr">
        <is>
          <t>Airbus A330-200</t>
        </is>
      </c>
      <c r="C44" s="23" t="inlineStr">
        <is>
          <t>WIDE</t>
        </is>
      </c>
      <c r="D44" s="23" t="inlineStr">
        <is>
          <t>2020-01-20</t>
        </is>
      </c>
      <c r="E44" s="23" t="n">
        <v>19180</v>
      </c>
      <c r="F44" s="23" t="n">
        <v>2206</v>
      </c>
      <c r="G44" s="23" t="inlineStr">
        <is>
          <t>C</t>
        </is>
      </c>
      <c r="H44" s="23" t="n">
        <v>5329</v>
      </c>
      <c r="I44" s="23" t="n">
        <v>3413</v>
      </c>
      <c r="J44" s="23" t="inlineStr">
        <is>
          <t>2024-07-20</t>
        </is>
      </c>
      <c r="K44" s="23" t="n">
        <v>547</v>
      </c>
      <c r="L44" s="23" t="inlineStr">
        <is>
          <t>2021-11-08</t>
        </is>
      </c>
      <c r="M44" s="23" t="n">
        <v>1532</v>
      </c>
      <c r="N44" s="23" t="n">
        <v>13.8</v>
      </c>
      <c r="O44" s="23" t="inlineStr">
        <is>
          <t>Aktif</t>
        </is>
      </c>
    </row>
    <row r="45">
      <c r="A45" s="23" t="inlineStr">
        <is>
          <t>TC-JND47</t>
        </is>
      </c>
      <c r="B45" s="23" t="inlineStr">
        <is>
          <t>Airbus A330-200</t>
        </is>
      </c>
      <c r="C45" s="23" t="inlineStr">
        <is>
          <t>WIDE</t>
        </is>
      </c>
      <c r="D45" s="23" t="inlineStr">
        <is>
          <t>2020-01-20</t>
        </is>
      </c>
      <c r="E45" s="23" t="n">
        <v>19908</v>
      </c>
      <c r="F45" s="23" t="n">
        <v>2925</v>
      </c>
      <c r="G45" s="23" t="inlineStr">
        <is>
          <t>A</t>
        </is>
      </c>
      <c r="H45" s="23" t="n">
        <v>179</v>
      </c>
      <c r="I45" s="23" t="n">
        <v>170</v>
      </c>
      <c r="J45" s="23" t="inlineStr">
        <is>
          <t>2025-11-23</t>
        </is>
      </c>
      <c r="K45" s="23" t="n">
        <v>56</v>
      </c>
      <c r="L45" s="23" t="inlineStr">
        <is>
          <t>2025-08-30</t>
        </is>
      </c>
      <c r="M45" s="23" t="n">
        <v>141</v>
      </c>
      <c r="N45" s="23" t="n">
        <v>8.300000000000001</v>
      </c>
      <c r="O45" s="23" t="inlineStr">
        <is>
          <t>Aktif</t>
        </is>
      </c>
    </row>
    <row r="46">
      <c r="A46" s="23" t="inlineStr">
        <is>
          <t>TC-JNE91</t>
        </is>
      </c>
      <c r="B46" s="23" t="inlineStr">
        <is>
          <t>Airbus A330-200</t>
        </is>
      </c>
      <c r="C46" s="23" t="inlineStr">
        <is>
          <t>WIDE</t>
        </is>
      </c>
      <c r="D46" s="23" t="inlineStr">
        <is>
          <t>2024-01-19</t>
        </is>
      </c>
      <c r="E46" s="23" t="n">
        <v>37170</v>
      </c>
      <c r="F46" s="23" t="n">
        <v>6742</v>
      </c>
      <c r="G46" s="23" t="inlineStr">
        <is>
          <t>C</t>
        </is>
      </c>
      <c r="H46" s="23" t="n">
        <v>2829</v>
      </c>
      <c r="I46" s="23" t="n">
        <v>2222</v>
      </c>
      <c r="J46" s="23" t="inlineStr">
        <is>
          <t>2024-09-05</t>
        </is>
      </c>
      <c r="K46" s="23" t="n">
        <v>500</v>
      </c>
      <c r="L46" s="23" t="inlineStr">
        <is>
          <t>2022-10-24</t>
        </is>
      </c>
      <c r="M46" s="23" t="n">
        <v>1182</v>
      </c>
      <c r="N46" s="23" t="n">
        <v>7.5</v>
      </c>
      <c r="O46" s="23" t="inlineStr">
        <is>
          <t>Aktif</t>
        </is>
      </c>
    </row>
    <row r="47">
      <c r="A47" s="23" t="inlineStr">
        <is>
          <t>TC-JNF42</t>
        </is>
      </c>
      <c r="B47" s="23" t="inlineStr">
        <is>
          <t>Airbus A330-200</t>
        </is>
      </c>
      <c r="C47" s="23" t="inlineStr">
        <is>
          <t>WIDE</t>
        </is>
      </c>
      <c r="D47" s="23" t="inlineStr">
        <is>
          <t>2023-01-19</t>
        </is>
      </c>
      <c r="E47" s="23" t="n">
        <v>36308</v>
      </c>
      <c r="F47" s="23" t="n">
        <v>6517</v>
      </c>
      <c r="G47" s="23" t="inlineStr">
        <is>
          <t>B</t>
        </is>
      </c>
      <c r="H47" s="23" t="n">
        <v>1107</v>
      </c>
      <c r="I47" s="23" t="n">
        <v>231</v>
      </c>
      <c r="J47" s="23" t="inlineStr">
        <is>
          <t>2024-05-28</t>
        </is>
      </c>
      <c r="K47" s="23" t="n">
        <v>600</v>
      </c>
      <c r="L47" s="23" t="inlineStr">
        <is>
          <t>2020-07-28</t>
        </is>
      </c>
      <c r="M47" s="23" t="n">
        <v>2000</v>
      </c>
      <c r="N47" s="23" t="n">
        <v>6.4</v>
      </c>
      <c r="O47" s="23" t="inlineStr">
        <is>
          <t>Aktif</t>
        </is>
      </c>
    </row>
    <row r="48">
      <c r="A48" s="23" t="inlineStr">
        <is>
          <t>TC-JNG82</t>
        </is>
      </c>
      <c r="B48" s="23" t="inlineStr">
        <is>
          <t>Airbus A330-200</t>
        </is>
      </c>
      <c r="C48" s="23" t="inlineStr">
        <is>
          <t>WIDE</t>
        </is>
      </c>
      <c r="D48" s="23" t="inlineStr">
        <is>
          <t>2021-01-19</t>
        </is>
      </c>
      <c r="E48" s="23" t="n">
        <v>24912</v>
      </c>
      <c r="F48" s="23" t="n">
        <v>4591</v>
      </c>
      <c r="G48" s="23" t="inlineStr">
        <is>
          <t>A</t>
        </is>
      </c>
      <c r="H48" s="23" t="n">
        <v>476</v>
      </c>
      <c r="I48" s="23" t="n">
        <v>340</v>
      </c>
      <c r="J48" s="23" t="inlineStr">
        <is>
          <t>2025-05-22</t>
        </is>
      </c>
      <c r="K48" s="23" t="n">
        <v>241</v>
      </c>
      <c r="L48" s="23" t="inlineStr">
        <is>
          <t>2019-09-09</t>
        </is>
      </c>
      <c r="M48" s="23" t="n">
        <v>2323</v>
      </c>
      <c r="N48" s="23" t="n">
        <v>9</v>
      </c>
      <c r="O48" s="23" t="inlineStr">
        <is>
          <t>Bakımda</t>
        </is>
      </c>
    </row>
    <row r="49">
      <c r="A49" s="23" t="inlineStr">
        <is>
          <t>TC-JNH48</t>
        </is>
      </c>
      <c r="B49" s="23" t="inlineStr">
        <is>
          <t>Airbus A330-200</t>
        </is>
      </c>
      <c r="C49" s="23" t="inlineStr">
        <is>
          <t>WIDE</t>
        </is>
      </c>
      <c r="D49" s="23" t="inlineStr">
        <is>
          <t>2020-01-20</t>
        </is>
      </c>
      <c r="E49" s="23" t="n">
        <v>43569</v>
      </c>
      <c r="F49" s="23" t="n">
        <v>4378</v>
      </c>
      <c r="G49" s="23" t="inlineStr">
        <is>
          <t>C</t>
        </is>
      </c>
      <c r="H49" s="23" t="n">
        <v>993</v>
      </c>
      <c r="I49" s="23" t="n">
        <v>2797</v>
      </c>
      <c r="J49" s="23" t="inlineStr">
        <is>
          <t>2025-09-29</t>
        </is>
      </c>
      <c r="K49" s="23" t="n">
        <v>111</v>
      </c>
      <c r="L49" s="23" t="inlineStr">
        <is>
          <t>2019-11-28</t>
        </is>
      </c>
      <c r="M49" s="23" t="n">
        <v>2243</v>
      </c>
      <c r="N49" s="23" t="n">
        <v>11</v>
      </c>
      <c r="O49" s="23" t="inlineStr">
        <is>
          <t>Aktif</t>
        </is>
      </c>
    </row>
    <row r="50">
      <c r="A50" s="23" t="inlineStr">
        <is>
          <t>TC-JNI94</t>
        </is>
      </c>
      <c r="B50" s="23" t="inlineStr">
        <is>
          <t>Airbus A330-200</t>
        </is>
      </c>
      <c r="C50" s="23" t="inlineStr">
        <is>
          <t>WIDE</t>
        </is>
      </c>
      <c r="D50" s="23" t="inlineStr">
        <is>
          <t>2022-01-19</t>
        </is>
      </c>
      <c r="E50" s="23" t="n">
        <v>10320</v>
      </c>
      <c r="F50" s="23" t="n">
        <v>1783</v>
      </c>
      <c r="G50" s="23" t="inlineStr">
        <is>
          <t>C</t>
        </is>
      </c>
      <c r="H50" s="23" t="n">
        <v>1114</v>
      </c>
      <c r="I50" s="23" t="n">
        <v>941</v>
      </c>
      <c r="J50" s="23" t="inlineStr">
        <is>
          <t>2026-01-06</t>
        </is>
      </c>
      <c r="K50" s="23" t="n">
        <v>12</v>
      </c>
      <c r="L50" s="23" t="inlineStr">
        <is>
          <t>2022-09-26</t>
        </is>
      </c>
      <c r="M50" s="23" t="n">
        <v>1210</v>
      </c>
      <c r="N50" s="23" t="n">
        <v>11.5</v>
      </c>
      <c r="O50" s="23" t="inlineStr">
        <is>
          <t>Bakımda</t>
        </is>
      </c>
    </row>
    <row r="51">
      <c r="A51" s="23" t="inlineStr">
        <is>
          <t>TC-JNJ47</t>
        </is>
      </c>
      <c r="B51" s="23" t="inlineStr">
        <is>
          <t>Airbus A330-200</t>
        </is>
      </c>
      <c r="C51" s="23" t="inlineStr">
        <is>
          <t>WIDE</t>
        </is>
      </c>
      <c r="D51" s="23" t="inlineStr">
        <is>
          <t>2013-01-21</t>
        </is>
      </c>
      <c r="E51" s="23" t="n">
        <v>7139</v>
      </c>
      <c r="F51" s="23" t="n">
        <v>1159</v>
      </c>
      <c r="G51" s="23" t="inlineStr">
        <is>
          <t>B</t>
        </is>
      </c>
      <c r="H51" s="23" t="n">
        <v>1539</v>
      </c>
      <c r="I51" s="23" t="n">
        <v>1009</v>
      </c>
      <c r="J51" s="23" t="inlineStr">
        <is>
          <t>2025-10-28</t>
        </is>
      </c>
      <c r="K51" s="23" t="n">
        <v>82</v>
      </c>
      <c r="L51" s="23" t="inlineStr">
        <is>
          <t>2020-11-21</t>
        </is>
      </c>
      <c r="M51" s="23" t="n">
        <v>1884</v>
      </c>
      <c r="N51" s="23" t="n">
        <v>13.4</v>
      </c>
      <c r="O51" s="23" t="inlineStr">
        <is>
          <t>Aktif</t>
        </is>
      </c>
    </row>
    <row r="52">
      <c r="A52" s="23" t="inlineStr">
        <is>
          <t>TC-JNK64</t>
        </is>
      </c>
      <c r="B52" s="23" t="inlineStr">
        <is>
          <t>Airbus A330-200</t>
        </is>
      </c>
      <c r="C52" s="23" t="inlineStr">
        <is>
          <t>WIDE</t>
        </is>
      </c>
      <c r="D52" s="23" t="inlineStr">
        <is>
          <t>2014-01-21</t>
        </is>
      </c>
      <c r="E52" s="23" t="n">
        <v>12521</v>
      </c>
      <c r="F52" s="23" t="n">
        <v>1621</v>
      </c>
      <c r="G52" s="23" t="inlineStr">
        <is>
          <t>A</t>
        </is>
      </c>
      <c r="H52" s="23" t="n">
        <v>322</v>
      </c>
      <c r="I52" s="23" t="n">
        <v>102</v>
      </c>
      <c r="J52" s="23" t="inlineStr">
        <is>
          <t>2025-10-27</t>
        </is>
      </c>
      <c r="K52" s="23" t="n">
        <v>83</v>
      </c>
      <c r="L52" s="23" t="inlineStr">
        <is>
          <t>2025-12-07</t>
        </is>
      </c>
      <c r="M52" s="23" t="n">
        <v>42</v>
      </c>
      <c r="N52" s="23" t="n">
        <v>12.3</v>
      </c>
      <c r="O52" s="23" t="inlineStr">
        <is>
          <t>Aktif</t>
        </is>
      </c>
    </row>
    <row r="53">
      <c r="A53" s="23" t="inlineStr">
        <is>
          <t>TC-JNL66</t>
        </is>
      </c>
      <c r="B53" s="23" t="inlineStr">
        <is>
          <t>Airbus A330-200</t>
        </is>
      </c>
      <c r="C53" s="23" t="inlineStr">
        <is>
          <t>WIDE</t>
        </is>
      </c>
      <c r="D53" s="23" t="inlineStr">
        <is>
          <t>2020-01-20</t>
        </is>
      </c>
      <c r="E53" s="23" t="n">
        <v>13149</v>
      </c>
      <c r="F53" s="23" t="n">
        <v>1790</v>
      </c>
      <c r="G53" s="23" t="inlineStr">
        <is>
          <t>C</t>
        </is>
      </c>
      <c r="H53" s="23" t="n">
        <v>3797</v>
      </c>
      <c r="I53" s="23" t="n">
        <v>1415</v>
      </c>
      <c r="J53" s="23" t="inlineStr">
        <is>
          <t>2024-08-14</t>
        </is>
      </c>
      <c r="K53" s="23" t="n">
        <v>522</v>
      </c>
      <c r="L53" s="23" t="inlineStr">
        <is>
          <t>2021-09-15</t>
        </is>
      </c>
      <c r="M53" s="23" t="n">
        <v>1586</v>
      </c>
      <c r="N53" s="23" t="n">
        <v>9.5</v>
      </c>
      <c r="O53" s="23" t="inlineStr">
        <is>
          <t>Aktif</t>
        </is>
      </c>
    </row>
    <row r="54">
      <c r="A54" s="23" t="inlineStr">
        <is>
          <t>TC-JNM65</t>
        </is>
      </c>
      <c r="B54" s="23" t="inlineStr">
        <is>
          <t>Airbus A330-200</t>
        </is>
      </c>
      <c r="C54" s="23" t="inlineStr">
        <is>
          <t>WIDE</t>
        </is>
      </c>
      <c r="D54" s="23" t="inlineStr">
        <is>
          <t>2024-01-19</t>
        </is>
      </c>
      <c r="E54" s="23" t="n">
        <v>26123</v>
      </c>
      <c r="F54" s="23" t="n">
        <v>3257</v>
      </c>
      <c r="G54" s="23" t="inlineStr">
        <is>
          <t>A</t>
        </is>
      </c>
      <c r="H54" s="23" t="n">
        <v>284</v>
      </c>
      <c r="I54" s="23" t="n">
        <v>375</v>
      </c>
      <c r="J54" s="23" t="inlineStr">
        <is>
          <t>2024-05-29</t>
        </is>
      </c>
      <c r="K54" s="23" t="n">
        <v>599</v>
      </c>
      <c r="L54" s="23" t="inlineStr">
        <is>
          <t>2022-01-14</t>
        </is>
      </c>
      <c r="M54" s="23" t="n">
        <v>1465</v>
      </c>
      <c r="N54" s="23" t="n">
        <v>14</v>
      </c>
      <c r="O54" s="23" t="inlineStr">
        <is>
          <t>Aktif</t>
        </is>
      </c>
    </row>
    <row r="55">
      <c r="A55" s="23" t="inlineStr">
        <is>
          <t>TC-JOA89</t>
        </is>
      </c>
      <c r="B55" s="23" t="inlineStr">
        <is>
          <t>Airbus A330-300</t>
        </is>
      </c>
      <c r="C55" s="23" t="inlineStr">
        <is>
          <t>WIDE</t>
        </is>
      </c>
      <c r="D55" s="23" t="inlineStr">
        <is>
          <t>2015-01-21</t>
        </is>
      </c>
      <c r="E55" s="23" t="n">
        <v>41792</v>
      </c>
      <c r="F55" s="23" t="n">
        <v>6293</v>
      </c>
      <c r="G55" s="23" t="inlineStr">
        <is>
          <t>A</t>
        </is>
      </c>
      <c r="H55" s="23" t="n">
        <v>114</v>
      </c>
      <c r="I55" s="23" t="n">
        <v>355</v>
      </c>
      <c r="J55" s="23" t="inlineStr">
        <is>
          <t>2024-09-20</t>
        </is>
      </c>
      <c r="K55" s="23" t="n">
        <v>485</v>
      </c>
      <c r="L55" s="23" t="inlineStr">
        <is>
          <t>2020-11-03</t>
        </is>
      </c>
      <c r="M55" s="23" t="n">
        <v>1902</v>
      </c>
      <c r="N55" s="23" t="n">
        <v>11.2</v>
      </c>
      <c r="O55" s="23" t="inlineStr">
        <is>
          <t>Aktif</t>
        </is>
      </c>
    </row>
    <row r="56">
      <c r="A56" s="23" t="inlineStr">
        <is>
          <t>TC-JOB27</t>
        </is>
      </c>
      <c r="B56" s="23" t="inlineStr">
        <is>
          <t>Airbus A330-300</t>
        </is>
      </c>
      <c r="C56" s="23" t="inlineStr">
        <is>
          <t>WIDE</t>
        </is>
      </c>
      <c r="D56" s="23" t="inlineStr">
        <is>
          <t>2020-01-20</t>
        </is>
      </c>
      <c r="E56" s="23" t="n">
        <v>7971</v>
      </c>
      <c r="F56" s="23" t="n">
        <v>819</v>
      </c>
      <c r="G56" s="23" t="inlineStr">
        <is>
          <t>B</t>
        </is>
      </c>
      <c r="H56" s="23" t="n">
        <v>337</v>
      </c>
      <c r="I56" s="23" t="n">
        <v>279</v>
      </c>
      <c r="J56" s="23" t="inlineStr">
        <is>
          <t>2025-05-13</t>
        </is>
      </c>
      <c r="K56" s="23" t="n">
        <v>250</v>
      </c>
      <c r="L56" s="23" t="inlineStr">
        <is>
          <t>2021-12-16</t>
        </is>
      </c>
      <c r="M56" s="23" t="n">
        <v>1494</v>
      </c>
      <c r="N56" s="23" t="n">
        <v>9.1</v>
      </c>
      <c r="O56" s="23" t="inlineStr">
        <is>
          <t>Aktif</t>
        </is>
      </c>
    </row>
    <row r="57">
      <c r="A57" s="23" t="inlineStr">
        <is>
          <t>TC-JOB83</t>
        </is>
      </c>
      <c r="B57" s="23" t="inlineStr">
        <is>
          <t>Airbus A330-300</t>
        </is>
      </c>
      <c r="C57" s="23" t="inlineStr">
        <is>
          <t>WIDE</t>
        </is>
      </c>
      <c r="D57" s="23" t="inlineStr">
        <is>
          <t>2022-01-19</t>
        </is>
      </c>
      <c r="E57" s="23" t="n">
        <v>7636</v>
      </c>
      <c r="F57" s="23" t="n">
        <v>866</v>
      </c>
      <c r="G57" s="23" t="inlineStr">
        <is>
          <t>B</t>
        </is>
      </c>
      <c r="H57" s="23" t="n">
        <v>1162</v>
      </c>
      <c r="I57" s="23" t="n">
        <v>985</v>
      </c>
      <c r="J57" s="23" t="inlineStr">
        <is>
          <t>2025-03-30</t>
        </is>
      </c>
      <c r="K57" s="23" t="n">
        <v>294</v>
      </c>
      <c r="L57" s="23" t="inlineStr">
        <is>
          <t>2024-08-22</t>
        </is>
      </c>
      <c r="M57" s="23" t="n">
        <v>514</v>
      </c>
      <c r="N57" s="23" t="n">
        <v>9.5</v>
      </c>
      <c r="O57" s="23" t="inlineStr">
        <is>
          <t>Bakımda</t>
        </is>
      </c>
    </row>
    <row r="58">
      <c r="A58" s="23" t="inlineStr">
        <is>
          <t>TC-JOC21</t>
        </is>
      </c>
      <c r="B58" s="23" t="inlineStr">
        <is>
          <t>Airbus A330-300</t>
        </is>
      </c>
      <c r="C58" s="23" t="inlineStr">
        <is>
          <t>WIDE</t>
        </is>
      </c>
      <c r="D58" s="23" t="inlineStr">
        <is>
          <t>2019-01-20</t>
        </is>
      </c>
      <c r="E58" s="23" t="n">
        <v>35802</v>
      </c>
      <c r="F58" s="23" t="n">
        <v>5312</v>
      </c>
      <c r="G58" s="23" t="inlineStr">
        <is>
          <t>B</t>
        </is>
      </c>
      <c r="H58" s="23" t="n">
        <v>1472</v>
      </c>
      <c r="I58" s="23" t="n">
        <v>294</v>
      </c>
      <c r="J58" s="23" t="inlineStr">
        <is>
          <t>2025-07-28</t>
        </is>
      </c>
      <c r="K58" s="23" t="n">
        <v>174</v>
      </c>
      <c r="L58" s="23" t="inlineStr">
        <is>
          <t>2023-10-06</t>
        </is>
      </c>
      <c r="M58" s="23" t="n">
        <v>835</v>
      </c>
      <c r="N58" s="23" t="n">
        <v>11.5</v>
      </c>
      <c r="O58" s="23" t="inlineStr">
        <is>
          <t>Aktif</t>
        </is>
      </c>
    </row>
    <row r="59">
      <c r="A59" s="23" t="inlineStr">
        <is>
          <t>TC-JOC95</t>
        </is>
      </c>
      <c r="B59" s="23" t="inlineStr">
        <is>
          <t>Airbus A330-300</t>
        </is>
      </c>
      <c r="C59" s="23" t="inlineStr">
        <is>
          <t>WIDE</t>
        </is>
      </c>
      <c r="D59" s="23" t="inlineStr">
        <is>
          <t>2013-01-21</t>
        </is>
      </c>
      <c r="E59" s="23" t="n">
        <v>40402</v>
      </c>
      <c r="F59" s="23" t="n">
        <v>5693</v>
      </c>
      <c r="G59" s="23" t="inlineStr">
        <is>
          <t>C</t>
        </is>
      </c>
      <c r="H59" s="23" t="n">
        <v>1765</v>
      </c>
      <c r="I59" s="23" t="n">
        <v>1999</v>
      </c>
      <c r="J59" s="23" t="inlineStr">
        <is>
          <t>2025-09-29</t>
        </is>
      </c>
      <c r="K59" s="23" t="n">
        <v>111</v>
      </c>
      <c r="L59" s="23" t="inlineStr">
        <is>
          <t>2019-09-17</t>
        </is>
      </c>
      <c r="M59" s="23" t="n">
        <v>2315</v>
      </c>
      <c r="N59" s="23" t="n">
        <v>10.9</v>
      </c>
      <c r="O59" s="23" t="inlineStr">
        <is>
          <t>Aktif</t>
        </is>
      </c>
    </row>
    <row r="60">
      <c r="A60" s="23" t="inlineStr">
        <is>
          <t>TC-JOD14</t>
        </is>
      </c>
      <c r="B60" s="23" t="inlineStr">
        <is>
          <t>Airbus A330-300</t>
        </is>
      </c>
      <c r="C60" s="23" t="inlineStr">
        <is>
          <t>WIDE</t>
        </is>
      </c>
      <c r="D60" s="23" t="inlineStr">
        <is>
          <t>2017-01-20</t>
        </is>
      </c>
      <c r="E60" s="23" t="n">
        <v>29283</v>
      </c>
      <c r="F60" s="23" t="n">
        <v>4811</v>
      </c>
      <c r="G60" s="23" t="inlineStr">
        <is>
          <t>A</t>
        </is>
      </c>
      <c r="H60" s="23" t="n">
        <v>421</v>
      </c>
      <c r="I60" s="23" t="n">
        <v>80</v>
      </c>
      <c r="J60" s="23" t="inlineStr">
        <is>
          <t>2024-12-28</t>
        </is>
      </c>
      <c r="K60" s="23" t="n">
        <v>386</v>
      </c>
      <c r="L60" s="23" t="inlineStr">
        <is>
          <t>2021-08-07</t>
        </is>
      </c>
      <c r="M60" s="23" t="n">
        <v>1625</v>
      </c>
      <c r="N60" s="23" t="n">
        <v>8.9</v>
      </c>
      <c r="O60" s="23" t="inlineStr">
        <is>
          <t>Bakımda</t>
        </is>
      </c>
    </row>
    <row r="61">
      <c r="A61" s="23" t="inlineStr">
        <is>
          <t>TC-JOD94</t>
        </is>
      </c>
      <c r="B61" s="23" t="inlineStr">
        <is>
          <t>Airbus A330-300</t>
        </is>
      </c>
      <c r="C61" s="23" t="inlineStr">
        <is>
          <t>WIDE</t>
        </is>
      </c>
      <c r="D61" s="23" t="inlineStr">
        <is>
          <t>2016-01-21</t>
        </is>
      </c>
      <c r="E61" s="23" t="n">
        <v>31244</v>
      </c>
      <c r="F61" s="23" t="n">
        <v>3445</v>
      </c>
      <c r="G61" s="23" t="inlineStr">
        <is>
          <t>A</t>
        </is>
      </c>
      <c r="H61" s="23" t="n">
        <v>515</v>
      </c>
      <c r="I61" s="23" t="n">
        <v>75</v>
      </c>
      <c r="J61" s="23" t="inlineStr">
        <is>
          <t>2025-02-20</t>
        </is>
      </c>
      <c r="K61" s="23" t="n">
        <v>332</v>
      </c>
      <c r="L61" s="23" t="inlineStr">
        <is>
          <t>2023-10-29</t>
        </is>
      </c>
      <c r="M61" s="23" t="n">
        <v>812</v>
      </c>
      <c r="N61" s="23" t="n">
        <v>6.9</v>
      </c>
      <c r="O61" s="23" t="inlineStr">
        <is>
          <t>Bakımda</t>
        </is>
      </c>
    </row>
    <row r="62">
      <c r="A62" s="23" t="inlineStr">
        <is>
          <t>TC-JOE45</t>
        </is>
      </c>
      <c r="B62" s="23" t="inlineStr">
        <is>
          <t>Airbus A330-300</t>
        </is>
      </c>
      <c r="C62" s="23" t="inlineStr">
        <is>
          <t>WIDE</t>
        </is>
      </c>
      <c r="D62" s="23" t="inlineStr">
        <is>
          <t>2011-01-22</t>
        </is>
      </c>
      <c r="E62" s="23" t="n">
        <v>17439</v>
      </c>
      <c r="F62" s="23" t="n">
        <v>1772</v>
      </c>
      <c r="G62" s="23" t="inlineStr">
        <is>
          <t>B</t>
        </is>
      </c>
      <c r="H62" s="23" t="n">
        <v>287</v>
      </c>
      <c r="I62" s="23" t="n">
        <v>514</v>
      </c>
      <c r="J62" s="23" t="inlineStr">
        <is>
          <t>2025-12-18</t>
        </is>
      </c>
      <c r="K62" s="23" t="n">
        <v>31</v>
      </c>
      <c r="L62" s="23" t="inlineStr">
        <is>
          <t>2025-10-25</t>
        </is>
      </c>
      <c r="M62" s="23" t="n">
        <v>85</v>
      </c>
      <c r="N62" s="23" t="n">
        <v>7.9</v>
      </c>
      <c r="O62" s="23" t="inlineStr">
        <is>
          <t>Aktif</t>
        </is>
      </c>
    </row>
    <row r="63">
      <c r="A63" s="23" t="inlineStr">
        <is>
          <t>TC-JOE75</t>
        </is>
      </c>
      <c r="B63" s="23" t="inlineStr">
        <is>
          <t>Airbus A330-300</t>
        </is>
      </c>
      <c r="C63" s="23" t="inlineStr">
        <is>
          <t>WIDE</t>
        </is>
      </c>
      <c r="D63" s="23" t="inlineStr">
        <is>
          <t>2016-01-21</t>
        </is>
      </c>
      <c r="E63" s="23" t="n">
        <v>5075</v>
      </c>
      <c r="F63" s="23" t="n">
        <v>612</v>
      </c>
      <c r="G63" s="23" t="inlineStr">
        <is>
          <t>B</t>
        </is>
      </c>
      <c r="H63" s="23" t="n">
        <v>946</v>
      </c>
      <c r="I63" s="23" t="n">
        <v>191</v>
      </c>
      <c r="J63" s="23" t="inlineStr">
        <is>
          <t>2025-06-30</t>
        </is>
      </c>
      <c r="K63" s="23" t="n">
        <v>202</v>
      </c>
      <c r="L63" s="23" t="inlineStr">
        <is>
          <t>2021-10-19</t>
        </is>
      </c>
      <c r="M63" s="23" t="n">
        <v>1552</v>
      </c>
      <c r="N63" s="23" t="n">
        <v>11</v>
      </c>
      <c r="O63" s="23" t="inlineStr">
        <is>
          <t>Bakımda</t>
        </is>
      </c>
    </row>
    <row r="64">
      <c r="A64" s="23" t="inlineStr">
        <is>
          <t>TC-JOF82</t>
        </is>
      </c>
      <c r="B64" s="23" t="inlineStr">
        <is>
          <t>Airbus A330-300</t>
        </is>
      </c>
      <c r="C64" s="23" t="inlineStr">
        <is>
          <t>WIDE</t>
        </is>
      </c>
      <c r="D64" s="23" t="inlineStr">
        <is>
          <t>2012-01-22</t>
        </is>
      </c>
      <c r="E64" s="23" t="n">
        <v>18448</v>
      </c>
      <c r="F64" s="23" t="n">
        <v>3452</v>
      </c>
      <c r="G64" s="23" t="inlineStr">
        <is>
          <t>C</t>
        </is>
      </c>
      <c r="H64" s="23" t="n">
        <v>2197</v>
      </c>
      <c r="I64" s="23" t="n">
        <v>2701</v>
      </c>
      <c r="J64" s="23" t="inlineStr">
        <is>
          <t>2025-06-01</t>
        </is>
      </c>
      <c r="K64" s="23" t="n">
        <v>231</v>
      </c>
      <c r="L64" s="23" t="inlineStr">
        <is>
          <t>2019-11-22</t>
        </is>
      </c>
      <c r="M64" s="23" t="n">
        <v>2249</v>
      </c>
      <c r="N64" s="23" t="n">
        <v>8.6</v>
      </c>
      <c r="O64" s="23" t="inlineStr">
        <is>
          <t>Aktif</t>
        </is>
      </c>
    </row>
    <row r="65">
      <c r="A65" s="23" t="inlineStr">
        <is>
          <t>TC-JOF90</t>
        </is>
      </c>
      <c r="B65" s="23" t="inlineStr">
        <is>
          <t>Airbus A330-300</t>
        </is>
      </c>
      <c r="C65" s="23" t="inlineStr">
        <is>
          <t>WIDE</t>
        </is>
      </c>
      <c r="D65" s="23" t="inlineStr">
        <is>
          <t>2021-01-19</t>
        </is>
      </c>
      <c r="E65" s="23" t="n">
        <v>33969</v>
      </c>
      <c r="F65" s="23" t="n">
        <v>3860</v>
      </c>
      <c r="G65" s="23" t="inlineStr">
        <is>
          <t>B</t>
        </is>
      </c>
      <c r="H65" s="23" t="n">
        <v>1224</v>
      </c>
      <c r="I65" s="23" t="n">
        <v>348</v>
      </c>
      <c r="J65" s="23" t="inlineStr">
        <is>
          <t>2025-03-20</t>
        </is>
      </c>
      <c r="K65" s="23" t="n">
        <v>304</v>
      </c>
      <c r="L65" s="23" t="inlineStr">
        <is>
          <t>2022-07-25</t>
        </is>
      </c>
      <c r="M65" s="23" t="n">
        <v>1273</v>
      </c>
      <c r="N65" s="23" t="n">
        <v>9.9</v>
      </c>
      <c r="O65" s="23" t="inlineStr">
        <is>
          <t>Aktif</t>
        </is>
      </c>
    </row>
    <row r="66">
      <c r="A66" s="23" t="inlineStr">
        <is>
          <t>TC-JOG86</t>
        </is>
      </c>
      <c r="B66" s="23" t="inlineStr">
        <is>
          <t>Airbus A330-300</t>
        </is>
      </c>
      <c r="C66" s="23" t="inlineStr">
        <is>
          <t>WIDE</t>
        </is>
      </c>
      <c r="D66" s="23" t="inlineStr">
        <is>
          <t>2022-01-19</t>
        </is>
      </c>
      <c r="E66" s="23" t="n">
        <v>5185</v>
      </c>
      <c r="F66" s="23" t="n">
        <v>811</v>
      </c>
      <c r="G66" s="23" t="inlineStr">
        <is>
          <t>A</t>
        </is>
      </c>
      <c r="H66" s="23" t="n">
        <v>306</v>
      </c>
      <c r="I66" s="23" t="n">
        <v>119</v>
      </c>
      <c r="J66" s="23" t="inlineStr">
        <is>
          <t>2025-09-18</t>
        </is>
      </c>
      <c r="K66" s="23" t="n">
        <v>122</v>
      </c>
      <c r="L66" s="23" t="inlineStr">
        <is>
          <t>2021-01-13</t>
        </is>
      </c>
      <c r="M66" s="23" t="n">
        <v>1831</v>
      </c>
      <c r="N66" s="23" t="n">
        <v>7.1</v>
      </c>
      <c r="O66" s="23" t="inlineStr">
        <is>
          <t>Aktif</t>
        </is>
      </c>
    </row>
    <row r="67">
      <c r="A67" s="23" t="inlineStr">
        <is>
          <t>TC-JOG90</t>
        </is>
      </c>
      <c r="B67" s="23" t="inlineStr">
        <is>
          <t>Airbus A330-300</t>
        </is>
      </c>
      <c r="C67" s="23" t="inlineStr">
        <is>
          <t>WIDE</t>
        </is>
      </c>
      <c r="D67" s="23" t="inlineStr">
        <is>
          <t>2013-01-21</t>
        </is>
      </c>
      <c r="E67" s="23" t="n">
        <v>44903</v>
      </c>
      <c r="F67" s="23" t="n">
        <v>4991</v>
      </c>
      <c r="G67" s="23" t="inlineStr">
        <is>
          <t>A</t>
        </is>
      </c>
      <c r="H67" s="23" t="n">
        <v>368</v>
      </c>
      <c r="I67" s="23" t="n">
        <v>312</v>
      </c>
      <c r="J67" s="23" t="inlineStr">
        <is>
          <t>2025-12-25</t>
        </is>
      </c>
      <c r="K67" s="23" t="n">
        <v>24</v>
      </c>
      <c r="L67" s="23" t="inlineStr">
        <is>
          <t>2021-10-07</t>
        </is>
      </c>
      <c r="M67" s="23" t="n">
        <v>1564</v>
      </c>
      <c r="N67" s="23" t="n">
        <v>6.7</v>
      </c>
      <c r="O67" s="23" t="inlineStr">
        <is>
          <t>Aktif</t>
        </is>
      </c>
    </row>
    <row r="68">
      <c r="A68" s="23" t="inlineStr">
        <is>
          <t>TC-JOH40</t>
        </is>
      </c>
      <c r="B68" s="23" t="inlineStr">
        <is>
          <t>Airbus A330-300</t>
        </is>
      </c>
      <c r="C68" s="23" t="inlineStr">
        <is>
          <t>WIDE</t>
        </is>
      </c>
      <c r="D68" s="23" t="inlineStr">
        <is>
          <t>2022-01-19</t>
        </is>
      </c>
      <c r="E68" s="23" t="n">
        <v>43591</v>
      </c>
      <c r="F68" s="23" t="n">
        <v>6585</v>
      </c>
      <c r="G68" s="23" t="inlineStr">
        <is>
          <t>B</t>
        </is>
      </c>
      <c r="H68" s="23" t="n">
        <v>207</v>
      </c>
      <c r="I68" s="23" t="n">
        <v>339</v>
      </c>
      <c r="J68" s="23" t="inlineStr">
        <is>
          <t>2024-11-03</t>
        </is>
      </c>
      <c r="K68" s="23" t="n">
        <v>441</v>
      </c>
      <c r="L68" s="23" t="inlineStr">
        <is>
          <t>2021-12-21</t>
        </is>
      </c>
      <c r="M68" s="23" t="n">
        <v>1489</v>
      </c>
      <c r="N68" s="23" t="n">
        <v>12</v>
      </c>
      <c r="O68" s="23" t="inlineStr">
        <is>
          <t>Bakımda</t>
        </is>
      </c>
    </row>
    <row r="69">
      <c r="A69" s="23" t="inlineStr">
        <is>
          <t>TC-JOH69</t>
        </is>
      </c>
      <c r="B69" s="23" t="inlineStr">
        <is>
          <t>Airbus A330-300</t>
        </is>
      </c>
      <c r="C69" s="23" t="inlineStr">
        <is>
          <t>WIDE</t>
        </is>
      </c>
      <c r="D69" s="23" t="inlineStr">
        <is>
          <t>2022-01-19</t>
        </is>
      </c>
      <c r="E69" s="23" t="n">
        <v>12698</v>
      </c>
      <c r="F69" s="23" t="n">
        <v>1541</v>
      </c>
      <c r="G69" s="23" t="inlineStr">
        <is>
          <t>B</t>
        </is>
      </c>
      <c r="H69" s="23" t="n">
        <v>1567</v>
      </c>
      <c r="I69" s="23" t="n">
        <v>677</v>
      </c>
      <c r="J69" s="23" t="inlineStr">
        <is>
          <t>2024-08-05</t>
        </is>
      </c>
      <c r="K69" s="23" t="n">
        <v>531</v>
      </c>
      <c r="L69" s="23" t="inlineStr">
        <is>
          <t>2020-11-11</t>
        </is>
      </c>
      <c r="M69" s="23" t="n">
        <v>1894</v>
      </c>
      <c r="N69" s="23" t="n">
        <v>9.300000000000001</v>
      </c>
      <c r="O69" s="23" t="inlineStr">
        <is>
          <t>Bakımda</t>
        </is>
      </c>
    </row>
    <row r="70">
      <c r="A70" s="23" t="inlineStr">
        <is>
          <t>TC-JOI67</t>
        </is>
      </c>
      <c r="B70" s="23" t="inlineStr">
        <is>
          <t>Airbus A330-300</t>
        </is>
      </c>
      <c r="C70" s="23" t="inlineStr">
        <is>
          <t>WIDE</t>
        </is>
      </c>
      <c r="D70" s="23" t="inlineStr">
        <is>
          <t>2023-01-19</t>
        </is>
      </c>
      <c r="E70" s="23" t="n">
        <v>28726</v>
      </c>
      <c r="F70" s="23" t="n">
        <v>3796</v>
      </c>
      <c r="G70" s="23" t="inlineStr">
        <is>
          <t>B</t>
        </is>
      </c>
      <c r="H70" s="23" t="n">
        <v>1131</v>
      </c>
      <c r="I70" s="23" t="n">
        <v>533</v>
      </c>
      <c r="J70" s="23" t="inlineStr">
        <is>
          <t>2025-11-25</t>
        </is>
      </c>
      <c r="K70" s="23" t="n">
        <v>54</v>
      </c>
      <c r="L70" s="23" t="inlineStr">
        <is>
          <t>2020-08-04</t>
        </is>
      </c>
      <c r="M70" s="23" t="n">
        <v>1993</v>
      </c>
      <c r="N70" s="23" t="n">
        <v>10.2</v>
      </c>
      <c r="O70" s="23" t="inlineStr">
        <is>
          <t>Bakımda</t>
        </is>
      </c>
    </row>
    <row r="71">
      <c r="A71" s="23" t="inlineStr">
        <is>
          <t>TC-JOI70</t>
        </is>
      </c>
      <c r="B71" s="23" t="inlineStr">
        <is>
          <t>Airbus A330-300</t>
        </is>
      </c>
      <c r="C71" s="23" t="inlineStr">
        <is>
          <t>WIDE</t>
        </is>
      </c>
      <c r="D71" s="23" t="inlineStr">
        <is>
          <t>2022-01-19</t>
        </is>
      </c>
      <c r="E71" s="23" t="n">
        <v>20973</v>
      </c>
      <c r="F71" s="23" t="n">
        <v>2879</v>
      </c>
      <c r="G71" s="23" t="inlineStr">
        <is>
          <t>B</t>
        </is>
      </c>
      <c r="H71" s="23" t="n">
        <v>490</v>
      </c>
      <c r="I71" s="23" t="n">
        <v>1120</v>
      </c>
      <c r="J71" s="23" t="inlineStr">
        <is>
          <t>2025-08-22</t>
        </is>
      </c>
      <c r="K71" s="23" t="n">
        <v>149</v>
      </c>
      <c r="L71" s="23" t="inlineStr">
        <is>
          <t>2020-01-03</t>
        </is>
      </c>
      <c r="M71" s="23" t="n">
        <v>2207</v>
      </c>
      <c r="N71" s="23" t="n">
        <v>8.199999999999999</v>
      </c>
      <c r="O71" s="23" t="inlineStr">
        <is>
          <t>Bakımda</t>
        </is>
      </c>
    </row>
    <row r="72">
      <c r="A72" s="23" t="inlineStr">
        <is>
          <t>TC-JOJ53</t>
        </is>
      </c>
      <c r="B72" s="23" t="inlineStr">
        <is>
          <t>Airbus A330-300</t>
        </is>
      </c>
      <c r="C72" s="23" t="inlineStr">
        <is>
          <t>WIDE</t>
        </is>
      </c>
      <c r="D72" s="23" t="inlineStr">
        <is>
          <t>2024-01-19</t>
        </is>
      </c>
      <c r="E72" s="23" t="n">
        <v>38275</v>
      </c>
      <c r="F72" s="23" t="n">
        <v>6041</v>
      </c>
      <c r="G72" s="23" t="inlineStr">
        <is>
          <t>B</t>
        </is>
      </c>
      <c r="H72" s="23" t="n">
        <v>1586</v>
      </c>
      <c r="I72" s="23" t="n">
        <v>691</v>
      </c>
      <c r="J72" s="23" t="inlineStr">
        <is>
          <t>2024-08-25</t>
        </is>
      </c>
      <c r="K72" s="23" t="n">
        <v>511</v>
      </c>
      <c r="L72" s="23" t="inlineStr">
        <is>
          <t>2019-12-13</t>
        </is>
      </c>
      <c r="M72" s="23" t="n">
        <v>2228</v>
      </c>
      <c r="N72" s="23" t="n">
        <v>9.6</v>
      </c>
      <c r="O72" s="23" t="inlineStr">
        <is>
          <t>Bakımda</t>
        </is>
      </c>
    </row>
    <row r="73">
      <c r="A73" s="23" t="inlineStr">
        <is>
          <t>TC-JOJ92</t>
        </is>
      </c>
      <c r="B73" s="23" t="inlineStr">
        <is>
          <t>Airbus A330-300</t>
        </is>
      </c>
      <c r="C73" s="23" t="inlineStr">
        <is>
          <t>WIDE</t>
        </is>
      </c>
      <c r="D73" s="23" t="inlineStr">
        <is>
          <t>2017-01-20</t>
        </is>
      </c>
      <c r="E73" s="23" t="n">
        <v>7041</v>
      </c>
      <c r="F73" s="23" t="n">
        <v>1327</v>
      </c>
      <c r="G73" s="23" t="inlineStr">
        <is>
          <t>B</t>
        </is>
      </c>
      <c r="H73" s="23" t="n">
        <v>973</v>
      </c>
      <c r="I73" s="23" t="n">
        <v>301</v>
      </c>
      <c r="J73" s="23" t="inlineStr">
        <is>
          <t>2024-08-24</t>
        </is>
      </c>
      <c r="K73" s="23" t="n">
        <v>512</v>
      </c>
      <c r="L73" s="23" t="inlineStr">
        <is>
          <t>2020-09-28</t>
        </is>
      </c>
      <c r="M73" s="23" t="n">
        <v>1938</v>
      </c>
      <c r="N73" s="23" t="n">
        <v>6.6</v>
      </c>
      <c r="O73" s="23" t="inlineStr">
        <is>
          <t>Aktif</t>
        </is>
      </c>
    </row>
    <row r="74">
      <c r="A74" s="23" t="inlineStr">
        <is>
          <t>TC-JOK51</t>
        </is>
      </c>
      <c r="B74" s="23" t="inlineStr">
        <is>
          <t>Airbus A330-300</t>
        </is>
      </c>
      <c r="C74" s="23" t="inlineStr">
        <is>
          <t>WIDE</t>
        </is>
      </c>
      <c r="D74" s="23" t="inlineStr">
        <is>
          <t>2022-01-19</t>
        </is>
      </c>
      <c r="E74" s="23" t="n">
        <v>44865</v>
      </c>
      <c r="F74" s="23" t="n">
        <v>7813</v>
      </c>
      <c r="G74" s="23" t="inlineStr">
        <is>
          <t>B</t>
        </is>
      </c>
      <c r="H74" s="23" t="n">
        <v>1378</v>
      </c>
      <c r="I74" s="23" t="n">
        <v>745</v>
      </c>
      <c r="J74" s="23" t="inlineStr">
        <is>
          <t>2024-12-14</t>
        </is>
      </c>
      <c r="K74" s="23" t="n">
        <v>400</v>
      </c>
      <c r="L74" s="23" t="inlineStr">
        <is>
          <t>2021-09-06</t>
        </is>
      </c>
      <c r="M74" s="23" t="n">
        <v>1595</v>
      </c>
      <c r="N74" s="23" t="n">
        <v>8.4</v>
      </c>
      <c r="O74" s="23" t="inlineStr">
        <is>
          <t>Bakımda</t>
        </is>
      </c>
    </row>
    <row r="75">
      <c r="A75" s="23" t="inlineStr">
        <is>
          <t>TC-JOK54</t>
        </is>
      </c>
      <c r="B75" s="23" t="inlineStr">
        <is>
          <t>Airbus A330-300</t>
        </is>
      </c>
      <c r="C75" s="23" t="inlineStr">
        <is>
          <t>WIDE</t>
        </is>
      </c>
      <c r="D75" s="23" t="inlineStr">
        <is>
          <t>2016-01-21</t>
        </is>
      </c>
      <c r="E75" s="23" t="n">
        <v>26786</v>
      </c>
      <c r="F75" s="23" t="n">
        <v>3451</v>
      </c>
      <c r="G75" s="23" t="inlineStr">
        <is>
          <t>B</t>
        </is>
      </c>
      <c r="H75" s="23" t="n">
        <v>1032</v>
      </c>
      <c r="I75" s="23" t="n">
        <v>739</v>
      </c>
      <c r="J75" s="23" t="inlineStr">
        <is>
          <t>2025-06-29</t>
        </is>
      </c>
      <c r="K75" s="23" t="n">
        <v>203</v>
      </c>
      <c r="L75" s="23" t="inlineStr">
        <is>
          <t>2020-11-19</t>
        </is>
      </c>
      <c r="M75" s="23" t="n">
        <v>1886</v>
      </c>
      <c r="N75" s="23" t="n">
        <v>10.6</v>
      </c>
      <c r="O75" s="23" t="inlineStr">
        <is>
          <t>Aktif</t>
        </is>
      </c>
    </row>
    <row r="76">
      <c r="A76" s="23" t="inlineStr">
        <is>
          <t>TC-JOL22</t>
        </is>
      </c>
      <c r="B76" s="23" t="inlineStr">
        <is>
          <t>Airbus A330-300</t>
        </is>
      </c>
      <c r="C76" s="23" t="inlineStr">
        <is>
          <t>WIDE</t>
        </is>
      </c>
      <c r="D76" s="23" t="inlineStr">
        <is>
          <t>2014-01-21</t>
        </is>
      </c>
      <c r="E76" s="23" t="n">
        <v>12498</v>
      </c>
      <c r="F76" s="23" t="n">
        <v>1349</v>
      </c>
      <c r="G76" s="23" t="inlineStr">
        <is>
          <t>C</t>
        </is>
      </c>
      <c r="H76" s="23" t="n">
        <v>2261</v>
      </c>
      <c r="I76" s="23" t="n">
        <v>2061</v>
      </c>
      <c r="J76" s="23" t="inlineStr">
        <is>
          <t>2024-10-03</t>
        </is>
      </c>
      <c r="K76" s="23" t="n">
        <v>472</v>
      </c>
      <c r="L76" s="23" t="inlineStr">
        <is>
          <t>2024-10-05</t>
        </is>
      </c>
      <c r="M76" s="23" t="n">
        <v>470</v>
      </c>
      <c r="N76" s="23" t="n">
        <v>8.699999999999999</v>
      </c>
      <c r="O76" s="23" t="inlineStr">
        <is>
          <t>Bakımda</t>
        </is>
      </c>
    </row>
    <row r="77">
      <c r="A77" s="23" t="inlineStr">
        <is>
          <t>TC-JOL62</t>
        </is>
      </c>
      <c r="B77" s="23" t="inlineStr">
        <is>
          <t>Airbus A330-300</t>
        </is>
      </c>
      <c r="C77" s="23" t="inlineStr">
        <is>
          <t>WIDE</t>
        </is>
      </c>
      <c r="D77" s="23" t="inlineStr">
        <is>
          <t>2017-01-20</t>
        </is>
      </c>
      <c r="E77" s="23" t="n">
        <v>7860</v>
      </c>
      <c r="F77" s="23" t="n">
        <v>1192</v>
      </c>
      <c r="G77" s="23" t="inlineStr">
        <is>
          <t>C</t>
        </is>
      </c>
      <c r="H77" s="23" t="n">
        <v>3623</v>
      </c>
      <c r="I77" s="23" t="n">
        <v>1881</v>
      </c>
      <c r="J77" s="23" t="inlineStr">
        <is>
          <t>2025-08-06</t>
        </is>
      </c>
      <c r="K77" s="23" t="n">
        <v>165</v>
      </c>
      <c r="L77" s="23" t="inlineStr">
        <is>
          <t>2023-01-10</t>
        </is>
      </c>
      <c r="M77" s="23" t="n">
        <v>1104</v>
      </c>
      <c r="N77" s="23" t="n">
        <v>7</v>
      </c>
      <c r="O77" s="23" t="inlineStr">
        <is>
          <t>Aktif</t>
        </is>
      </c>
    </row>
    <row r="78">
      <c r="A78" s="23" t="inlineStr">
        <is>
          <t>TC-JOM22</t>
        </is>
      </c>
      <c r="B78" s="23" t="inlineStr">
        <is>
          <t>Airbus A330-300</t>
        </is>
      </c>
      <c r="C78" s="23" t="inlineStr">
        <is>
          <t>WIDE</t>
        </is>
      </c>
      <c r="D78" s="23" t="inlineStr">
        <is>
          <t>2017-01-20</t>
        </is>
      </c>
      <c r="E78" s="23" t="n">
        <v>33855</v>
      </c>
      <c r="F78" s="23" t="n">
        <v>6157</v>
      </c>
      <c r="G78" s="23" t="inlineStr">
        <is>
          <t>A</t>
        </is>
      </c>
      <c r="H78" s="23" t="n">
        <v>197</v>
      </c>
      <c r="I78" s="23" t="n">
        <v>239</v>
      </c>
      <c r="J78" s="23" t="inlineStr">
        <is>
          <t>2025-08-03</t>
        </is>
      </c>
      <c r="K78" s="23" t="n">
        <v>168</v>
      </c>
      <c r="L78" s="23" t="inlineStr">
        <is>
          <t>2025-09-20</t>
        </is>
      </c>
      <c r="M78" s="23" t="n">
        <v>120</v>
      </c>
      <c r="N78" s="23" t="n">
        <v>12.3</v>
      </c>
      <c r="O78" s="23" t="inlineStr">
        <is>
          <t>Aktif</t>
        </is>
      </c>
    </row>
    <row r="79">
      <c r="A79" s="23" t="inlineStr">
        <is>
          <t>TC-JON53</t>
        </is>
      </c>
      <c r="B79" s="23" t="inlineStr">
        <is>
          <t>Airbus A330-300</t>
        </is>
      </c>
      <c r="C79" s="23" t="inlineStr">
        <is>
          <t>WIDE</t>
        </is>
      </c>
      <c r="D79" s="23" t="inlineStr">
        <is>
          <t>2014-01-21</t>
        </is>
      </c>
      <c r="E79" s="23" t="n">
        <v>45845</v>
      </c>
      <c r="F79" s="23" t="n">
        <v>5416</v>
      </c>
      <c r="G79" s="23" t="inlineStr">
        <is>
          <t>A</t>
        </is>
      </c>
      <c r="H79" s="23" t="n">
        <v>386</v>
      </c>
      <c r="I79" s="23" t="n">
        <v>375</v>
      </c>
      <c r="J79" s="23" t="inlineStr">
        <is>
          <t>2024-07-11</t>
        </is>
      </c>
      <c r="K79" s="23" t="n">
        <v>556</v>
      </c>
      <c r="L79" s="23" t="inlineStr">
        <is>
          <t>2022-10-30</t>
        </is>
      </c>
      <c r="M79" s="23" t="n">
        <v>1176</v>
      </c>
      <c r="N79" s="23" t="n">
        <v>11</v>
      </c>
      <c r="O79" s="23" t="inlineStr">
        <is>
          <t>Bakımda</t>
        </is>
      </c>
    </row>
    <row r="80">
      <c r="A80" s="23" t="inlineStr">
        <is>
          <t>TC-JOO79</t>
        </is>
      </c>
      <c r="B80" s="23" t="inlineStr">
        <is>
          <t>Airbus A330-300</t>
        </is>
      </c>
      <c r="C80" s="23" t="inlineStr">
        <is>
          <t>WIDE</t>
        </is>
      </c>
      <c r="D80" s="23" t="inlineStr">
        <is>
          <t>2021-01-19</t>
        </is>
      </c>
      <c r="E80" s="23" t="n">
        <v>7352</v>
      </c>
      <c r="F80" s="23" t="n">
        <v>909</v>
      </c>
      <c r="G80" s="23" t="inlineStr">
        <is>
          <t>C</t>
        </is>
      </c>
      <c r="H80" s="23" t="n">
        <v>2854</v>
      </c>
      <c r="I80" s="23" t="n">
        <v>1231</v>
      </c>
      <c r="J80" s="23" t="inlineStr">
        <is>
          <t>2025-10-08</t>
        </is>
      </c>
      <c r="K80" s="23" t="n">
        <v>102</v>
      </c>
      <c r="L80" s="23" t="inlineStr">
        <is>
          <t>2022-12-25</t>
        </is>
      </c>
      <c r="M80" s="23" t="n">
        <v>1120</v>
      </c>
      <c r="N80" s="23" t="n">
        <v>12.1</v>
      </c>
      <c r="O80" s="23" t="inlineStr">
        <is>
          <t>Aktif</t>
        </is>
      </c>
    </row>
    <row r="81">
      <c r="A81" s="23" t="inlineStr">
        <is>
          <t>TC-JOP66</t>
        </is>
      </c>
      <c r="B81" s="23" t="inlineStr">
        <is>
          <t>Airbus A330-300</t>
        </is>
      </c>
      <c r="C81" s="23" t="inlineStr">
        <is>
          <t>WIDE</t>
        </is>
      </c>
      <c r="D81" s="23" t="inlineStr">
        <is>
          <t>2024-01-19</t>
        </is>
      </c>
      <c r="E81" s="23" t="n">
        <v>15902</v>
      </c>
      <c r="F81" s="23" t="n">
        <v>1877</v>
      </c>
      <c r="G81" s="23" t="inlineStr">
        <is>
          <t>A</t>
        </is>
      </c>
      <c r="H81" s="23" t="n">
        <v>382</v>
      </c>
      <c r="I81" s="23" t="n">
        <v>58</v>
      </c>
      <c r="J81" s="23" t="inlineStr">
        <is>
          <t>2025-03-14</t>
        </is>
      </c>
      <c r="K81" s="23" t="n">
        <v>310</v>
      </c>
      <c r="L81" s="23" t="inlineStr">
        <is>
          <t>2023-10-16</t>
        </is>
      </c>
      <c r="M81" s="23" t="n">
        <v>825</v>
      </c>
      <c r="N81" s="23" t="n">
        <v>9.4</v>
      </c>
      <c r="O81" s="23" t="inlineStr">
        <is>
          <t>Aktif</t>
        </is>
      </c>
    </row>
    <row r="82">
      <c r="A82" s="23" t="inlineStr">
        <is>
          <t>TC-JOQ77</t>
        </is>
      </c>
      <c r="B82" s="23" t="inlineStr">
        <is>
          <t>Airbus A330-300</t>
        </is>
      </c>
      <c r="C82" s="23" t="inlineStr">
        <is>
          <t>WIDE</t>
        </is>
      </c>
      <c r="D82" s="23" t="inlineStr">
        <is>
          <t>2012-01-22</t>
        </is>
      </c>
      <c r="E82" s="23" t="n">
        <v>32004</v>
      </c>
      <c r="F82" s="23" t="n">
        <v>4087</v>
      </c>
      <c r="G82" s="23" t="inlineStr">
        <is>
          <t>A</t>
        </is>
      </c>
      <c r="H82" s="23" t="n">
        <v>224</v>
      </c>
      <c r="I82" s="23" t="n">
        <v>119</v>
      </c>
      <c r="J82" s="23" t="inlineStr">
        <is>
          <t>2025-10-20</t>
        </is>
      </c>
      <c r="K82" s="23" t="n">
        <v>90</v>
      </c>
      <c r="L82" s="23" t="inlineStr">
        <is>
          <t>2021-10-14</t>
        </is>
      </c>
      <c r="M82" s="23" t="n">
        <v>1557</v>
      </c>
      <c r="N82" s="23" t="n">
        <v>11</v>
      </c>
      <c r="O82" s="23" t="inlineStr">
        <is>
          <t>Aktif</t>
        </is>
      </c>
    </row>
    <row r="83">
      <c r="A83" s="23" t="inlineStr">
        <is>
          <t>TC-JOR73</t>
        </is>
      </c>
      <c r="B83" s="23" t="inlineStr">
        <is>
          <t>Airbus A330-300</t>
        </is>
      </c>
      <c r="C83" s="23" t="inlineStr">
        <is>
          <t>WIDE</t>
        </is>
      </c>
      <c r="D83" s="23" t="inlineStr">
        <is>
          <t>2017-01-20</t>
        </is>
      </c>
      <c r="E83" s="23" t="n">
        <v>43217</v>
      </c>
      <c r="F83" s="23" t="n">
        <v>7561</v>
      </c>
      <c r="G83" s="23" t="inlineStr">
        <is>
          <t>C</t>
        </is>
      </c>
      <c r="H83" s="23" t="n">
        <v>2580</v>
      </c>
      <c r="I83" s="23" t="n">
        <v>2182</v>
      </c>
      <c r="J83" s="23" t="inlineStr">
        <is>
          <t>2025-04-22</t>
        </is>
      </c>
      <c r="K83" s="23" t="n">
        <v>271</v>
      </c>
      <c r="L83" s="23" t="inlineStr">
        <is>
          <t>2021-01-17</t>
        </is>
      </c>
      <c r="M83" s="23" t="n">
        <v>1827</v>
      </c>
      <c r="N83" s="23" t="n">
        <v>13.2</v>
      </c>
      <c r="O83" s="23" t="inlineStr">
        <is>
          <t>Bakımda</t>
        </is>
      </c>
    </row>
    <row r="84">
      <c r="A84" s="23" t="inlineStr">
        <is>
          <t>TC-JOS46</t>
        </is>
      </c>
      <c r="B84" s="23" t="inlineStr">
        <is>
          <t>Airbus A330-300</t>
        </is>
      </c>
      <c r="C84" s="23" t="inlineStr">
        <is>
          <t>WIDE</t>
        </is>
      </c>
      <c r="D84" s="23" t="inlineStr">
        <is>
          <t>2023-01-19</t>
        </is>
      </c>
      <c r="E84" s="23" t="n">
        <v>49407</v>
      </c>
      <c r="F84" s="23" t="n">
        <v>6389</v>
      </c>
      <c r="G84" s="23" t="inlineStr">
        <is>
          <t>B</t>
        </is>
      </c>
      <c r="H84" s="23" t="n">
        <v>807</v>
      </c>
      <c r="I84" s="23" t="n">
        <v>692</v>
      </c>
      <c r="J84" s="23" t="inlineStr">
        <is>
          <t>2024-10-31</t>
        </is>
      </c>
      <c r="K84" s="23" t="n">
        <v>444</v>
      </c>
      <c r="L84" s="23" t="inlineStr">
        <is>
          <t>2020-11-16</t>
        </is>
      </c>
      <c r="M84" s="23" t="n">
        <v>1889</v>
      </c>
      <c r="N84" s="23" t="n">
        <v>9.699999999999999</v>
      </c>
      <c r="O84" s="23" t="inlineStr">
        <is>
          <t>Aktif</t>
        </is>
      </c>
    </row>
    <row r="85">
      <c r="A85" s="23" t="inlineStr">
        <is>
          <t>TC-JOT35</t>
        </is>
      </c>
      <c r="B85" s="23" t="inlineStr">
        <is>
          <t>Airbus A330-300</t>
        </is>
      </c>
      <c r="C85" s="23" t="inlineStr">
        <is>
          <t>WIDE</t>
        </is>
      </c>
      <c r="D85" s="23" t="inlineStr">
        <is>
          <t>2023-01-19</t>
        </is>
      </c>
      <c r="E85" s="23" t="n">
        <v>30211</v>
      </c>
      <c r="F85" s="23" t="n">
        <v>3260</v>
      </c>
      <c r="G85" s="23" t="inlineStr">
        <is>
          <t>A</t>
        </is>
      </c>
      <c r="H85" s="23" t="n">
        <v>440</v>
      </c>
      <c r="I85" s="23" t="n">
        <v>322</v>
      </c>
      <c r="J85" s="23" t="inlineStr">
        <is>
          <t>2025-01-06</t>
        </is>
      </c>
      <c r="K85" s="23" t="n">
        <v>377</v>
      </c>
      <c r="L85" s="23" t="inlineStr">
        <is>
          <t>2021-11-05</t>
        </is>
      </c>
      <c r="M85" s="23" t="n">
        <v>1535</v>
      </c>
      <c r="N85" s="23" t="n">
        <v>13.9</v>
      </c>
      <c r="O85" s="23" t="inlineStr">
        <is>
          <t>Aktif</t>
        </is>
      </c>
    </row>
    <row r="86">
      <c r="A86" s="23" t="inlineStr">
        <is>
          <t>TC-JOU12</t>
        </is>
      </c>
      <c r="B86" s="23" t="inlineStr">
        <is>
          <t>Airbus A330-300</t>
        </is>
      </c>
      <c r="C86" s="23" t="inlineStr">
        <is>
          <t>WIDE</t>
        </is>
      </c>
      <c r="D86" s="23" t="inlineStr">
        <is>
          <t>2024-01-19</t>
        </is>
      </c>
      <c r="E86" s="23" t="n">
        <v>48137</v>
      </c>
      <c r="F86" s="23" t="n">
        <v>6897</v>
      </c>
      <c r="G86" s="23" t="inlineStr">
        <is>
          <t>C</t>
        </is>
      </c>
      <c r="H86" s="23" t="n">
        <v>901</v>
      </c>
      <c r="I86" s="23" t="n">
        <v>2783</v>
      </c>
      <c r="J86" s="23" t="inlineStr">
        <is>
          <t>2024-08-18</t>
        </is>
      </c>
      <c r="K86" s="23" t="n">
        <v>518</v>
      </c>
      <c r="L86" s="23" t="inlineStr">
        <is>
          <t>2019-11-08</t>
        </is>
      </c>
      <c r="M86" s="23" t="n">
        <v>2263</v>
      </c>
      <c r="N86" s="23" t="n">
        <v>12.2</v>
      </c>
      <c r="O86" s="23" t="inlineStr">
        <is>
          <t>Aktif</t>
        </is>
      </c>
    </row>
    <row r="87">
      <c r="A87" s="23" t="inlineStr">
        <is>
          <t>TC-JOV87</t>
        </is>
      </c>
      <c r="B87" s="23" t="inlineStr">
        <is>
          <t>Airbus A330-300</t>
        </is>
      </c>
      <c r="C87" s="23" t="inlineStr">
        <is>
          <t>WIDE</t>
        </is>
      </c>
      <c r="D87" s="23" t="inlineStr">
        <is>
          <t>2021-01-19</t>
        </is>
      </c>
      <c r="E87" s="23" t="n">
        <v>28089</v>
      </c>
      <c r="F87" s="23" t="n">
        <v>4608</v>
      </c>
      <c r="G87" s="23" t="inlineStr">
        <is>
          <t>C</t>
        </is>
      </c>
      <c r="H87" s="23" t="n">
        <v>2553</v>
      </c>
      <c r="I87" s="23" t="n">
        <v>3076</v>
      </c>
      <c r="J87" s="23" t="inlineStr">
        <is>
          <t>2025-08-21</t>
        </is>
      </c>
      <c r="K87" s="23" t="n">
        <v>150</v>
      </c>
      <c r="L87" s="23" t="inlineStr">
        <is>
          <t>2020-12-26</t>
        </is>
      </c>
      <c r="M87" s="23" t="n">
        <v>1849</v>
      </c>
      <c r="N87" s="23" t="n">
        <v>13.2</v>
      </c>
      <c r="O87" s="23" t="inlineStr">
        <is>
          <t>Aktif</t>
        </is>
      </c>
    </row>
    <row r="88">
      <c r="A88" s="23" t="inlineStr">
        <is>
          <t>TC-JOW49</t>
        </is>
      </c>
      <c r="B88" s="23" t="inlineStr">
        <is>
          <t>Airbus A330-300</t>
        </is>
      </c>
      <c r="C88" s="23" t="inlineStr">
        <is>
          <t>WIDE</t>
        </is>
      </c>
      <c r="D88" s="23" t="inlineStr">
        <is>
          <t>2019-01-20</t>
        </is>
      </c>
      <c r="E88" s="23" t="n">
        <v>33889</v>
      </c>
      <c r="F88" s="23" t="n">
        <v>6558</v>
      </c>
      <c r="G88" s="23" t="inlineStr">
        <is>
          <t>C</t>
        </is>
      </c>
      <c r="H88" s="23" t="n">
        <v>1576</v>
      </c>
      <c r="I88" s="23" t="n">
        <v>669</v>
      </c>
      <c r="J88" s="23" t="inlineStr">
        <is>
          <t>2025-03-12</t>
        </is>
      </c>
      <c r="K88" s="23" t="n">
        <v>312</v>
      </c>
      <c r="L88" s="23" t="inlineStr">
        <is>
          <t>2023-10-05</t>
        </is>
      </c>
      <c r="M88" s="23" t="n">
        <v>836</v>
      </c>
      <c r="N88" s="23" t="n">
        <v>7.4</v>
      </c>
      <c r="O88" s="23" t="inlineStr">
        <is>
          <t>Aktif</t>
        </is>
      </c>
    </row>
    <row r="89">
      <c r="A89" s="23" t="inlineStr">
        <is>
          <t>TC-JOX79</t>
        </is>
      </c>
      <c r="B89" s="23" t="inlineStr">
        <is>
          <t>Airbus A330-300</t>
        </is>
      </c>
      <c r="C89" s="23" t="inlineStr">
        <is>
          <t>WIDE</t>
        </is>
      </c>
      <c r="D89" s="23" t="inlineStr">
        <is>
          <t>2020-01-20</t>
        </is>
      </c>
      <c r="E89" s="23" t="n">
        <v>28976</v>
      </c>
      <c r="F89" s="23" t="n">
        <v>3785</v>
      </c>
      <c r="G89" s="23" t="inlineStr">
        <is>
          <t>A</t>
        </is>
      </c>
      <c r="H89" s="23" t="n">
        <v>313</v>
      </c>
      <c r="I89" s="23" t="n">
        <v>276</v>
      </c>
      <c r="J89" s="23" t="inlineStr">
        <is>
          <t>2025-03-12</t>
        </is>
      </c>
      <c r="K89" s="23" t="n">
        <v>312</v>
      </c>
      <c r="L89" s="23" t="inlineStr">
        <is>
          <t>2020-10-25</t>
        </is>
      </c>
      <c r="M89" s="23" t="n">
        <v>1911</v>
      </c>
      <c r="N89" s="23" t="n">
        <v>12.4</v>
      </c>
      <c r="O89" s="23" t="inlineStr">
        <is>
          <t>Bakımda</t>
        </is>
      </c>
    </row>
    <row r="90">
      <c r="A90" s="23" t="inlineStr">
        <is>
          <t>TC-JOY19</t>
        </is>
      </c>
      <c r="B90" s="23" t="inlineStr">
        <is>
          <t>Airbus A330-300</t>
        </is>
      </c>
      <c r="C90" s="23" t="inlineStr">
        <is>
          <t>WIDE</t>
        </is>
      </c>
      <c r="D90" s="23" t="inlineStr">
        <is>
          <t>2021-01-19</t>
        </is>
      </c>
      <c r="E90" s="23" t="n">
        <v>14224</v>
      </c>
      <c r="F90" s="23" t="n">
        <v>1621</v>
      </c>
      <c r="G90" s="23" t="inlineStr">
        <is>
          <t>C</t>
        </is>
      </c>
      <c r="H90" s="23" t="n">
        <v>3755</v>
      </c>
      <c r="I90" s="23" t="n">
        <v>2582</v>
      </c>
      <c r="J90" s="23" t="inlineStr">
        <is>
          <t>2024-12-30</t>
        </is>
      </c>
      <c r="K90" s="23" t="n">
        <v>384</v>
      </c>
      <c r="L90" s="23" t="inlineStr">
        <is>
          <t>2025-10-09</t>
        </is>
      </c>
      <c r="M90" s="23" t="n">
        <v>101</v>
      </c>
      <c r="N90" s="23" t="n">
        <v>6.1</v>
      </c>
      <c r="O90" s="23" t="inlineStr">
        <is>
          <t>Aktif</t>
        </is>
      </c>
    </row>
    <row r="91">
      <c r="A91" s="23" t="inlineStr">
        <is>
          <t>TC-JOZ68</t>
        </is>
      </c>
      <c r="B91" s="23" t="inlineStr">
        <is>
          <t>Airbus A330-300</t>
        </is>
      </c>
      <c r="C91" s="23" t="inlineStr">
        <is>
          <t>WIDE</t>
        </is>
      </c>
      <c r="D91" s="23" t="inlineStr">
        <is>
          <t>2014-01-21</t>
        </is>
      </c>
      <c r="E91" s="23" t="n">
        <v>29155</v>
      </c>
      <c r="F91" s="23" t="n">
        <v>3485</v>
      </c>
      <c r="G91" s="23" t="inlineStr">
        <is>
          <t>B</t>
        </is>
      </c>
      <c r="H91" s="23" t="n">
        <v>1297</v>
      </c>
      <c r="I91" s="23" t="n">
        <v>860</v>
      </c>
      <c r="J91" s="23" t="inlineStr">
        <is>
          <t>2024-12-24</t>
        </is>
      </c>
      <c r="K91" s="23" t="n">
        <v>390</v>
      </c>
      <c r="L91" s="23" t="inlineStr">
        <is>
          <t>2025-07-30</t>
        </is>
      </c>
      <c r="M91" s="23" t="n">
        <v>172</v>
      </c>
      <c r="N91" s="23" t="n">
        <v>7.9</v>
      </c>
      <c r="O91" s="23" t="inlineStr">
        <is>
          <t>Aktif</t>
        </is>
      </c>
    </row>
    <row r="92">
      <c r="A92" s="23" t="inlineStr">
        <is>
          <t>TC-JPB99</t>
        </is>
      </c>
      <c r="B92" s="23" t="inlineStr">
        <is>
          <t>Airbus A320-200</t>
        </is>
      </c>
      <c r="C92" s="23" t="inlineStr">
        <is>
          <t>NARROW</t>
        </is>
      </c>
      <c r="D92" s="23" t="inlineStr">
        <is>
          <t>2022-01-19</t>
        </is>
      </c>
      <c r="E92" s="23" t="n">
        <v>6679</v>
      </c>
      <c r="F92" s="23" t="n">
        <v>2457</v>
      </c>
      <c r="G92" s="23" t="inlineStr">
        <is>
          <t>C</t>
        </is>
      </c>
      <c r="H92" s="23" t="n">
        <v>2505</v>
      </c>
      <c r="I92" s="23" t="n">
        <v>969</v>
      </c>
      <c r="J92" s="23" t="inlineStr">
        <is>
          <t>2024-09-22</t>
        </is>
      </c>
      <c r="K92" s="23" t="n">
        <v>483</v>
      </c>
      <c r="L92" s="23" t="inlineStr">
        <is>
          <t>2022-11-11</t>
        </is>
      </c>
      <c r="M92" s="23" t="n">
        <v>1164</v>
      </c>
      <c r="N92" s="23" t="n">
        <v>13.9</v>
      </c>
      <c r="O92" s="23" t="inlineStr">
        <is>
          <t>Aktif</t>
        </is>
      </c>
    </row>
    <row r="93">
      <c r="A93" s="23" t="inlineStr">
        <is>
          <t>TC-JPC97</t>
        </is>
      </c>
      <c r="B93" s="23" t="inlineStr">
        <is>
          <t>Airbus A320-200</t>
        </is>
      </c>
      <c r="C93" s="23" t="inlineStr">
        <is>
          <t>NARROW</t>
        </is>
      </c>
      <c r="D93" s="23" t="inlineStr">
        <is>
          <t>2012-01-22</t>
        </is>
      </c>
      <c r="E93" s="23" t="n">
        <v>23252</v>
      </c>
      <c r="F93" s="23" t="n">
        <v>7298</v>
      </c>
      <c r="G93" s="23" t="inlineStr">
        <is>
          <t>A</t>
        </is>
      </c>
      <c r="H93" s="23" t="n">
        <v>284</v>
      </c>
      <c r="I93" s="23" t="n">
        <v>46</v>
      </c>
      <c r="J93" s="23" t="inlineStr">
        <is>
          <t>2025-02-19</t>
        </is>
      </c>
      <c r="K93" s="23" t="n">
        <v>333</v>
      </c>
      <c r="L93" s="23" t="inlineStr">
        <is>
          <t>2022-11-12</t>
        </is>
      </c>
      <c r="M93" s="23" t="n">
        <v>1163</v>
      </c>
      <c r="N93" s="23" t="n">
        <v>6.5</v>
      </c>
      <c r="O93" s="23" t="inlineStr">
        <is>
          <t>Aktif</t>
        </is>
      </c>
    </row>
    <row r="94">
      <c r="A94" s="23" t="inlineStr">
        <is>
          <t>TC-JPD37</t>
        </is>
      </c>
      <c r="B94" s="23" t="inlineStr">
        <is>
          <t>Airbus A320-200</t>
        </is>
      </c>
      <c r="C94" s="23" t="inlineStr">
        <is>
          <t>NARROW</t>
        </is>
      </c>
      <c r="D94" s="23" t="inlineStr">
        <is>
          <t>2014-01-21</t>
        </is>
      </c>
      <c r="E94" s="23" t="n">
        <v>34717</v>
      </c>
      <c r="F94" s="23" t="n">
        <v>15151</v>
      </c>
      <c r="G94" s="23" t="inlineStr">
        <is>
          <t>B</t>
        </is>
      </c>
      <c r="H94" s="23" t="n">
        <v>392</v>
      </c>
      <c r="I94" s="23" t="n">
        <v>622</v>
      </c>
      <c r="J94" s="23" t="inlineStr">
        <is>
          <t>2025-08-19</t>
        </is>
      </c>
      <c r="K94" s="23" t="n">
        <v>152</v>
      </c>
      <c r="L94" s="23" t="inlineStr">
        <is>
          <t>2024-08-28</t>
        </is>
      </c>
      <c r="M94" s="23" t="n">
        <v>508</v>
      </c>
      <c r="N94" s="23" t="n">
        <v>10.3</v>
      </c>
      <c r="O94" s="23" t="inlineStr">
        <is>
          <t>Bakımda</t>
        </is>
      </c>
    </row>
    <row r="95">
      <c r="A95" s="23" t="inlineStr">
        <is>
          <t>TC-JPE84</t>
        </is>
      </c>
      <c r="B95" s="23" t="inlineStr">
        <is>
          <t>Airbus A320-200</t>
        </is>
      </c>
      <c r="C95" s="23" t="inlineStr">
        <is>
          <t>NARROW</t>
        </is>
      </c>
      <c r="D95" s="23" t="inlineStr">
        <is>
          <t>2022-01-19</t>
        </is>
      </c>
      <c r="E95" s="23" t="n">
        <v>28175</v>
      </c>
      <c r="F95" s="23" t="n">
        <v>12668</v>
      </c>
      <c r="G95" s="23" t="inlineStr">
        <is>
          <t>C</t>
        </is>
      </c>
      <c r="H95" s="23" t="n">
        <v>4542</v>
      </c>
      <c r="I95" s="23" t="n">
        <v>672</v>
      </c>
      <c r="J95" s="23" t="inlineStr">
        <is>
          <t>2025-11-21</t>
        </is>
      </c>
      <c r="K95" s="23" t="n">
        <v>58</v>
      </c>
      <c r="L95" s="23" t="inlineStr">
        <is>
          <t>2019-12-23</t>
        </is>
      </c>
      <c r="M95" s="23" t="n">
        <v>2218</v>
      </c>
      <c r="N95" s="23" t="n">
        <v>7.2</v>
      </c>
      <c r="O95" s="23" t="inlineStr">
        <is>
          <t>Aktif</t>
        </is>
      </c>
    </row>
    <row r="96">
      <c r="A96" s="23" t="inlineStr">
        <is>
          <t>TC-JPF97</t>
        </is>
      </c>
      <c r="B96" s="23" t="inlineStr">
        <is>
          <t>Airbus A320-200</t>
        </is>
      </c>
      <c r="C96" s="23" t="inlineStr">
        <is>
          <t>NARROW</t>
        </is>
      </c>
      <c r="D96" s="23" t="inlineStr">
        <is>
          <t>2018-01-20</t>
        </is>
      </c>
      <c r="E96" s="23" t="n">
        <v>29666</v>
      </c>
      <c r="F96" s="23" t="n">
        <v>11016</v>
      </c>
      <c r="G96" s="23" t="inlineStr">
        <is>
          <t>B</t>
        </is>
      </c>
      <c r="H96" s="23" t="n">
        <v>1320</v>
      </c>
      <c r="I96" s="23" t="n">
        <v>1038</v>
      </c>
      <c r="J96" s="23" t="inlineStr">
        <is>
          <t>2024-07-16</t>
        </is>
      </c>
      <c r="K96" s="23" t="n">
        <v>551</v>
      </c>
      <c r="L96" s="23" t="inlineStr">
        <is>
          <t>2023-08-31</t>
        </is>
      </c>
      <c r="M96" s="23" t="n">
        <v>871</v>
      </c>
      <c r="N96" s="23" t="n">
        <v>12.9</v>
      </c>
      <c r="O96" s="23" t="inlineStr">
        <is>
          <t>Aktif</t>
        </is>
      </c>
    </row>
    <row r="97">
      <c r="A97" s="23" t="inlineStr">
        <is>
          <t>TC-JPG97</t>
        </is>
      </c>
      <c r="B97" s="23" t="inlineStr">
        <is>
          <t>Airbus A320-200</t>
        </is>
      </c>
      <c r="C97" s="23" t="inlineStr">
        <is>
          <t>NARROW</t>
        </is>
      </c>
      <c r="D97" s="23" t="inlineStr">
        <is>
          <t>2016-01-21</t>
        </is>
      </c>
      <c r="E97" s="23" t="n">
        <v>9507</v>
      </c>
      <c r="F97" s="23" t="n">
        <v>3320</v>
      </c>
      <c r="G97" s="23" t="inlineStr">
        <is>
          <t>B</t>
        </is>
      </c>
      <c r="H97" s="23" t="n">
        <v>1674</v>
      </c>
      <c r="I97" s="23" t="n">
        <v>776</v>
      </c>
      <c r="J97" s="23" t="inlineStr">
        <is>
          <t>2025-09-16</t>
        </is>
      </c>
      <c r="K97" s="23" t="n">
        <v>124</v>
      </c>
      <c r="L97" s="23" t="inlineStr">
        <is>
          <t>2023-09-30</t>
        </is>
      </c>
      <c r="M97" s="23" t="n">
        <v>841</v>
      </c>
      <c r="N97" s="23" t="n">
        <v>7.3</v>
      </c>
      <c r="O97" s="23" t="inlineStr">
        <is>
          <t>Aktif</t>
        </is>
      </c>
    </row>
    <row r="98">
      <c r="A98" s="23" t="inlineStr">
        <is>
          <t>TC-JPH43</t>
        </is>
      </c>
      <c r="B98" s="23" t="inlineStr">
        <is>
          <t>Airbus A320-200</t>
        </is>
      </c>
      <c r="C98" s="23" t="inlineStr">
        <is>
          <t>NARROW</t>
        </is>
      </c>
      <c r="D98" s="23" t="inlineStr">
        <is>
          <t>2016-01-21</t>
        </is>
      </c>
      <c r="E98" s="23" t="n">
        <v>34806</v>
      </c>
      <c r="F98" s="23" t="n">
        <v>11510</v>
      </c>
      <c r="G98" s="23" t="inlineStr">
        <is>
          <t>A</t>
        </is>
      </c>
      <c r="H98" s="23" t="n">
        <v>355</v>
      </c>
      <c r="I98" s="23" t="n">
        <v>357</v>
      </c>
      <c r="J98" s="23" t="inlineStr">
        <is>
          <t>2024-08-07</t>
        </is>
      </c>
      <c r="K98" s="23" t="n">
        <v>529</v>
      </c>
      <c r="L98" s="23" t="inlineStr">
        <is>
          <t>2021-11-30</t>
        </is>
      </c>
      <c r="M98" s="23" t="n">
        <v>1510</v>
      </c>
      <c r="N98" s="23" t="n">
        <v>7.2</v>
      </c>
      <c r="O98" s="23" t="inlineStr">
        <is>
          <t>Aktif</t>
        </is>
      </c>
    </row>
    <row r="99">
      <c r="A99" s="23" t="inlineStr">
        <is>
          <t>TC-JPI79</t>
        </is>
      </c>
      <c r="B99" s="23" t="inlineStr">
        <is>
          <t>Airbus A320-200</t>
        </is>
      </c>
      <c r="C99" s="23" t="inlineStr">
        <is>
          <t>NARROW</t>
        </is>
      </c>
      <c r="D99" s="23" t="inlineStr">
        <is>
          <t>2017-01-20</t>
        </is>
      </c>
      <c r="E99" s="23" t="n">
        <v>2037</v>
      </c>
      <c r="F99" s="23" t="n">
        <v>755</v>
      </c>
      <c r="G99" s="23" t="inlineStr">
        <is>
          <t>A</t>
        </is>
      </c>
      <c r="H99" s="23" t="n">
        <v>164</v>
      </c>
      <c r="I99" s="23" t="n">
        <v>215</v>
      </c>
      <c r="J99" s="23" t="inlineStr">
        <is>
          <t>2025-02-28</t>
        </is>
      </c>
      <c r="K99" s="23" t="n">
        <v>324</v>
      </c>
      <c r="L99" s="23" t="inlineStr">
        <is>
          <t>2025-01-04</t>
        </is>
      </c>
      <c r="M99" s="23" t="n">
        <v>379</v>
      </c>
      <c r="N99" s="23" t="n">
        <v>7.9</v>
      </c>
      <c r="O99" s="23" t="inlineStr">
        <is>
          <t>Aktif</t>
        </is>
      </c>
    </row>
    <row r="100">
      <c r="A100" s="23" t="inlineStr">
        <is>
          <t>TC-JPJ20</t>
        </is>
      </c>
      <c r="B100" s="23" t="inlineStr">
        <is>
          <t>Airbus A320-200</t>
        </is>
      </c>
      <c r="C100" s="23" t="inlineStr">
        <is>
          <t>NARROW</t>
        </is>
      </c>
      <c r="D100" s="23" t="inlineStr">
        <is>
          <t>2012-01-22</t>
        </is>
      </c>
      <c r="E100" s="23" t="n">
        <v>33849</v>
      </c>
      <c r="F100" s="23" t="n">
        <v>10807</v>
      </c>
      <c r="G100" s="23" t="inlineStr">
        <is>
          <t>C</t>
        </is>
      </c>
      <c r="H100" s="23" t="n">
        <v>1530</v>
      </c>
      <c r="I100" s="23" t="n">
        <v>825</v>
      </c>
      <c r="J100" s="23" t="inlineStr">
        <is>
          <t>2024-09-09</t>
        </is>
      </c>
      <c r="K100" s="23" t="n">
        <v>496</v>
      </c>
      <c r="L100" s="23" t="inlineStr">
        <is>
          <t>2021-12-08</t>
        </is>
      </c>
      <c r="M100" s="23" t="n">
        <v>1502</v>
      </c>
      <c r="N100" s="23" t="n">
        <v>8.1</v>
      </c>
      <c r="O100" s="23" t="inlineStr">
        <is>
          <t>Bakımda</t>
        </is>
      </c>
    </row>
    <row r="101">
      <c r="A101" s="23" t="inlineStr">
        <is>
          <t>TC-JPK37</t>
        </is>
      </c>
      <c r="B101" s="23" t="inlineStr">
        <is>
          <t>Airbus A320-200</t>
        </is>
      </c>
      <c r="C101" s="23" t="inlineStr">
        <is>
          <t>NARROW</t>
        </is>
      </c>
      <c r="D101" s="23" t="inlineStr">
        <is>
          <t>2018-01-20</t>
        </is>
      </c>
      <c r="E101" s="23" t="n">
        <v>15182</v>
      </c>
      <c r="F101" s="23" t="n">
        <v>5188</v>
      </c>
      <c r="G101" s="23" t="inlineStr">
        <is>
          <t>C</t>
        </is>
      </c>
      <c r="H101" s="23" t="n">
        <v>3559</v>
      </c>
      <c r="I101" s="23" t="n">
        <v>2094</v>
      </c>
      <c r="J101" s="23" t="inlineStr">
        <is>
          <t>2024-07-28</t>
        </is>
      </c>
      <c r="K101" s="23" t="n">
        <v>539</v>
      </c>
      <c r="L101" s="23" t="inlineStr">
        <is>
          <t>2022-12-20</t>
        </is>
      </c>
      <c r="M101" s="23" t="n">
        <v>1125</v>
      </c>
      <c r="N101" s="23" t="n">
        <v>8</v>
      </c>
      <c r="O101" s="23" t="inlineStr">
        <is>
          <t>Aktif</t>
        </is>
      </c>
    </row>
    <row r="102">
      <c r="A102" s="23" t="inlineStr">
        <is>
          <t>TC-JPL53</t>
        </is>
      </c>
      <c r="B102" s="23" t="inlineStr">
        <is>
          <t>Airbus A320-200</t>
        </is>
      </c>
      <c r="C102" s="23" t="inlineStr">
        <is>
          <t>NARROW</t>
        </is>
      </c>
      <c r="D102" s="23" t="inlineStr">
        <is>
          <t>2021-01-19</t>
        </is>
      </c>
      <c r="E102" s="23" t="n">
        <v>3378</v>
      </c>
      <c r="F102" s="23" t="n">
        <v>1262</v>
      </c>
      <c r="G102" s="23" t="inlineStr">
        <is>
          <t>C</t>
        </is>
      </c>
      <c r="H102" s="23" t="n">
        <v>2304</v>
      </c>
      <c r="I102" s="23" t="n">
        <v>329</v>
      </c>
      <c r="J102" s="23" t="inlineStr">
        <is>
          <t>2025-10-28</t>
        </is>
      </c>
      <c r="K102" s="23" t="n">
        <v>82</v>
      </c>
      <c r="L102" s="23" t="inlineStr">
        <is>
          <t>2020-08-11</t>
        </is>
      </c>
      <c r="M102" s="23" t="n">
        <v>1986</v>
      </c>
      <c r="N102" s="23" t="n">
        <v>6.5</v>
      </c>
      <c r="O102" s="23" t="inlineStr">
        <is>
          <t>Aktif</t>
        </is>
      </c>
    </row>
    <row r="103">
      <c r="A103" s="23" t="inlineStr">
        <is>
          <t>TC-JPM14</t>
        </is>
      </c>
      <c r="B103" s="23" t="inlineStr">
        <is>
          <t>Airbus A320-200</t>
        </is>
      </c>
      <c r="C103" s="23" t="inlineStr">
        <is>
          <t>NARROW</t>
        </is>
      </c>
      <c r="D103" s="23" t="inlineStr">
        <is>
          <t>2021-01-19</t>
        </is>
      </c>
      <c r="E103" s="23" t="n">
        <v>23654</v>
      </c>
      <c r="F103" s="23" t="n">
        <v>14408</v>
      </c>
      <c r="G103" s="23" t="inlineStr">
        <is>
          <t>B</t>
        </is>
      </c>
      <c r="H103" s="23" t="n">
        <v>1470</v>
      </c>
      <c r="I103" s="23" t="n">
        <v>1074</v>
      </c>
      <c r="J103" s="23" t="inlineStr">
        <is>
          <t>2025-06-03</t>
        </is>
      </c>
      <c r="K103" s="23" t="n">
        <v>229</v>
      </c>
      <c r="L103" s="23" t="inlineStr">
        <is>
          <t>2021-12-17</t>
        </is>
      </c>
      <c r="M103" s="23" t="n">
        <v>1493</v>
      </c>
      <c r="N103" s="23" t="n">
        <v>11.8</v>
      </c>
      <c r="O103" s="23" t="inlineStr">
        <is>
          <t>Bakımda</t>
        </is>
      </c>
    </row>
    <row r="104">
      <c r="A104" s="23" t="inlineStr">
        <is>
          <t>TC-JPN41</t>
        </is>
      </c>
      <c r="B104" s="23" t="inlineStr">
        <is>
          <t>Airbus A320-200</t>
        </is>
      </c>
      <c r="C104" s="23" t="inlineStr">
        <is>
          <t>NARROW</t>
        </is>
      </c>
      <c r="D104" s="23" t="inlineStr">
        <is>
          <t>2021-01-19</t>
        </is>
      </c>
      <c r="E104" s="23" t="n">
        <v>32996</v>
      </c>
      <c r="F104" s="23" t="n">
        <v>10592</v>
      </c>
      <c r="G104" s="23" t="inlineStr">
        <is>
          <t>A</t>
        </is>
      </c>
      <c r="H104" s="23" t="n">
        <v>149</v>
      </c>
      <c r="I104" s="23" t="n">
        <v>367</v>
      </c>
      <c r="J104" s="23" t="inlineStr">
        <is>
          <t>2024-10-24</t>
        </is>
      </c>
      <c r="K104" s="23" t="n">
        <v>451</v>
      </c>
      <c r="L104" s="23" t="inlineStr">
        <is>
          <t>2023-10-03</t>
        </is>
      </c>
      <c r="M104" s="23" t="n">
        <v>838</v>
      </c>
      <c r="N104" s="23" t="n">
        <v>9.300000000000001</v>
      </c>
      <c r="O104" s="23" t="inlineStr">
        <is>
          <t>Aktif</t>
        </is>
      </c>
    </row>
    <row r="105">
      <c r="A105" s="23" t="inlineStr">
        <is>
          <t>TC-JPO96</t>
        </is>
      </c>
      <c r="B105" s="23" t="inlineStr">
        <is>
          <t>Airbus A320-200</t>
        </is>
      </c>
      <c r="C105" s="23" t="inlineStr">
        <is>
          <t>NARROW</t>
        </is>
      </c>
      <c r="D105" s="23" t="inlineStr">
        <is>
          <t>2013-01-21</t>
        </is>
      </c>
      <c r="E105" s="23" t="n">
        <v>8449</v>
      </c>
      <c r="F105" s="23" t="n">
        <v>5211</v>
      </c>
      <c r="G105" s="23" t="inlineStr">
        <is>
          <t>B</t>
        </is>
      </c>
      <c r="H105" s="23" t="n">
        <v>1739</v>
      </c>
      <c r="I105" s="23" t="n">
        <v>303</v>
      </c>
      <c r="J105" s="23" t="inlineStr">
        <is>
          <t>2025-04-29</t>
        </is>
      </c>
      <c r="K105" s="23" t="n">
        <v>264</v>
      </c>
      <c r="L105" s="23" t="inlineStr">
        <is>
          <t>2024-12-01</t>
        </is>
      </c>
      <c r="M105" s="23" t="n">
        <v>413</v>
      </c>
      <c r="N105" s="23" t="n">
        <v>10.3</v>
      </c>
      <c r="O105" s="23" t="inlineStr">
        <is>
          <t>Aktif</t>
        </is>
      </c>
    </row>
    <row r="106">
      <c r="A106" s="23" t="inlineStr">
        <is>
          <t>TC-JRB45</t>
        </is>
      </c>
      <c r="B106" s="23" t="inlineStr">
        <is>
          <t>Airbus A321-200</t>
        </is>
      </c>
      <c r="C106" s="23" t="inlineStr">
        <is>
          <t>NARROW</t>
        </is>
      </c>
      <c r="D106" s="23" t="inlineStr">
        <is>
          <t>2012-01-22</t>
        </is>
      </c>
      <c r="E106" s="23" t="n">
        <v>4889</v>
      </c>
      <c r="F106" s="23" t="n">
        <v>3243</v>
      </c>
      <c r="G106" s="23" t="inlineStr">
        <is>
          <t>A</t>
        </is>
      </c>
      <c r="H106" s="23" t="n">
        <v>318</v>
      </c>
      <c r="I106" s="23" t="n">
        <v>112</v>
      </c>
      <c r="J106" s="23" t="inlineStr">
        <is>
          <t>2024-10-13</t>
        </is>
      </c>
      <c r="K106" s="23" t="n">
        <v>462</v>
      </c>
      <c r="L106" s="23" t="inlineStr">
        <is>
          <t>2021-07-23</t>
        </is>
      </c>
      <c r="M106" s="23" t="n">
        <v>1640</v>
      </c>
      <c r="N106" s="23" t="n">
        <v>9.4</v>
      </c>
      <c r="O106" s="23" t="inlineStr">
        <is>
          <t>Aktif</t>
        </is>
      </c>
    </row>
    <row r="107">
      <c r="A107" s="23" t="inlineStr">
        <is>
          <t>TC-JRC24</t>
        </is>
      </c>
      <c r="B107" s="23" t="inlineStr">
        <is>
          <t>Airbus A321-200</t>
        </is>
      </c>
      <c r="C107" s="23" t="inlineStr">
        <is>
          <t>NARROW</t>
        </is>
      </c>
      <c r="D107" s="23" t="inlineStr">
        <is>
          <t>2013-01-21</t>
        </is>
      </c>
      <c r="E107" s="23" t="n">
        <v>6931</v>
      </c>
      <c r="F107" s="23" t="n">
        <v>2044</v>
      </c>
      <c r="G107" s="23" t="inlineStr">
        <is>
          <t>A</t>
        </is>
      </c>
      <c r="H107" s="23" t="n">
        <v>86</v>
      </c>
      <c r="I107" s="23" t="n">
        <v>219</v>
      </c>
      <c r="J107" s="23" t="inlineStr">
        <is>
          <t>2024-06-22</t>
        </is>
      </c>
      <c r="K107" s="23" t="n">
        <v>575</v>
      </c>
      <c r="L107" s="23" t="inlineStr">
        <is>
          <t>2024-09-30</t>
        </is>
      </c>
      <c r="M107" s="23" t="n">
        <v>475</v>
      </c>
      <c r="N107" s="23" t="n">
        <v>7</v>
      </c>
      <c r="O107" s="23" t="inlineStr">
        <is>
          <t>Aktif</t>
        </is>
      </c>
    </row>
    <row r="108">
      <c r="A108" s="23" t="inlineStr">
        <is>
          <t>TC-JRD56</t>
        </is>
      </c>
      <c r="B108" s="23" t="inlineStr">
        <is>
          <t>Airbus A321-200</t>
        </is>
      </c>
      <c r="C108" s="23" t="inlineStr">
        <is>
          <t>NARROW</t>
        </is>
      </c>
      <c r="D108" s="23" t="inlineStr">
        <is>
          <t>2021-01-19</t>
        </is>
      </c>
      <c r="E108" s="23" t="n">
        <v>4614</v>
      </c>
      <c r="F108" s="23" t="n">
        <v>1399</v>
      </c>
      <c r="G108" s="23" t="inlineStr">
        <is>
          <t>C</t>
        </is>
      </c>
      <c r="H108" s="23" t="n">
        <v>2544</v>
      </c>
      <c r="I108" s="23" t="n">
        <v>3031</v>
      </c>
      <c r="J108" s="23" t="inlineStr">
        <is>
          <t>2025-09-25</t>
        </is>
      </c>
      <c r="K108" s="23" t="n">
        <v>115</v>
      </c>
      <c r="L108" s="23" t="inlineStr">
        <is>
          <t>2023-08-29</t>
        </is>
      </c>
      <c r="M108" s="23" t="n">
        <v>873</v>
      </c>
      <c r="N108" s="23" t="n">
        <v>13.1</v>
      </c>
      <c r="O108" s="23" t="inlineStr">
        <is>
          <t>Bakımda</t>
        </is>
      </c>
    </row>
    <row r="109">
      <c r="A109" s="23" t="inlineStr">
        <is>
          <t>TC-JRE89</t>
        </is>
      </c>
      <c r="B109" s="23" t="inlineStr">
        <is>
          <t>Airbus A321-200</t>
        </is>
      </c>
      <c r="C109" s="23" t="inlineStr">
        <is>
          <t>NARROW</t>
        </is>
      </c>
      <c r="D109" s="23" t="inlineStr">
        <is>
          <t>2021-01-19</t>
        </is>
      </c>
      <c r="E109" s="23" t="n">
        <v>12128</v>
      </c>
      <c r="F109" s="23" t="n">
        <v>3618</v>
      </c>
      <c r="G109" s="23" t="inlineStr">
        <is>
          <t>A</t>
        </is>
      </c>
      <c r="H109" s="23" t="n">
        <v>231</v>
      </c>
      <c r="I109" s="23" t="n">
        <v>241</v>
      </c>
      <c r="J109" s="23" t="inlineStr">
        <is>
          <t>2025-12-14</t>
        </is>
      </c>
      <c r="K109" s="23" t="n">
        <v>35</v>
      </c>
      <c r="L109" s="23" t="inlineStr">
        <is>
          <t>2024-10-25</t>
        </is>
      </c>
      <c r="M109" s="23" t="n">
        <v>450</v>
      </c>
      <c r="N109" s="23" t="n">
        <v>12.3</v>
      </c>
      <c r="O109" s="23" t="inlineStr">
        <is>
          <t>Bakımda</t>
        </is>
      </c>
    </row>
    <row r="110">
      <c r="A110" s="23" t="inlineStr">
        <is>
          <t>TC-JRF95</t>
        </is>
      </c>
      <c r="B110" s="23" t="inlineStr">
        <is>
          <t>Airbus A321-200</t>
        </is>
      </c>
      <c r="C110" s="23" t="inlineStr">
        <is>
          <t>NARROW</t>
        </is>
      </c>
      <c r="D110" s="23" t="inlineStr">
        <is>
          <t>2012-01-22</t>
        </is>
      </c>
      <c r="E110" s="23" t="n">
        <v>18263</v>
      </c>
      <c r="F110" s="23" t="n">
        <v>8980</v>
      </c>
      <c r="G110" s="23" t="inlineStr">
        <is>
          <t>C</t>
        </is>
      </c>
      <c r="H110" s="23" t="n">
        <v>1385</v>
      </c>
      <c r="I110" s="23" t="n">
        <v>1866</v>
      </c>
      <c r="J110" s="23" t="inlineStr">
        <is>
          <t>2025-11-30</t>
        </is>
      </c>
      <c r="K110" s="23" t="n">
        <v>49</v>
      </c>
      <c r="L110" s="23" t="inlineStr">
        <is>
          <t>2019-09-22</t>
        </is>
      </c>
      <c r="M110" s="23" t="n">
        <v>2310</v>
      </c>
      <c r="N110" s="23" t="n">
        <v>7.8</v>
      </c>
      <c r="O110" s="23" t="inlineStr">
        <is>
          <t>Bakımda</t>
        </is>
      </c>
    </row>
    <row r="111">
      <c r="A111" s="23" t="inlineStr">
        <is>
          <t>TC-JRG54</t>
        </is>
      </c>
      <c r="B111" s="23" t="inlineStr">
        <is>
          <t>Airbus A321-200</t>
        </is>
      </c>
      <c r="C111" s="23" t="inlineStr">
        <is>
          <t>NARROW</t>
        </is>
      </c>
      <c r="D111" s="23" t="inlineStr">
        <is>
          <t>2011-01-22</t>
        </is>
      </c>
      <c r="E111" s="23" t="n">
        <v>22000</v>
      </c>
      <c r="F111" s="23" t="n">
        <v>7003</v>
      </c>
      <c r="G111" s="23" t="inlineStr">
        <is>
          <t>A</t>
        </is>
      </c>
      <c r="H111" s="23" t="n">
        <v>278</v>
      </c>
      <c r="I111" s="23" t="n">
        <v>42</v>
      </c>
      <c r="J111" s="23" t="inlineStr">
        <is>
          <t>2025-06-25</t>
        </is>
      </c>
      <c r="K111" s="23" t="n">
        <v>207</v>
      </c>
      <c r="L111" s="23" t="inlineStr">
        <is>
          <t>2022-10-27</t>
        </is>
      </c>
      <c r="M111" s="23" t="n">
        <v>1179</v>
      </c>
      <c r="N111" s="23" t="n">
        <v>8.199999999999999</v>
      </c>
      <c r="O111" s="23" t="inlineStr">
        <is>
          <t>Aktif</t>
        </is>
      </c>
    </row>
    <row r="112">
      <c r="A112" s="23" t="inlineStr">
        <is>
          <t>TC-JRH45</t>
        </is>
      </c>
      <c r="B112" s="23" t="inlineStr">
        <is>
          <t>Airbus A321-200</t>
        </is>
      </c>
      <c r="C112" s="23" t="inlineStr">
        <is>
          <t>NARROW</t>
        </is>
      </c>
      <c r="D112" s="23" t="inlineStr">
        <is>
          <t>2018-01-20</t>
        </is>
      </c>
      <c r="E112" s="23" t="n">
        <v>25012</v>
      </c>
      <c r="F112" s="23" t="n">
        <v>8987</v>
      </c>
      <c r="G112" s="23" t="inlineStr">
        <is>
          <t>C</t>
        </is>
      </c>
      <c r="H112" s="23" t="n">
        <v>4892</v>
      </c>
      <c r="I112" s="23" t="n">
        <v>1656</v>
      </c>
      <c r="J112" s="23" t="inlineStr">
        <is>
          <t>2025-12-11</t>
        </is>
      </c>
      <c r="K112" s="23" t="n">
        <v>38</v>
      </c>
      <c r="L112" s="23" t="inlineStr">
        <is>
          <t>2025-11-13</t>
        </is>
      </c>
      <c r="M112" s="23" t="n">
        <v>66</v>
      </c>
      <c r="N112" s="23" t="n">
        <v>7.4</v>
      </c>
      <c r="O112" s="23" t="inlineStr">
        <is>
          <t>Aktif</t>
        </is>
      </c>
    </row>
    <row r="113">
      <c r="A113" s="23" t="inlineStr">
        <is>
          <t>TC-JRI14</t>
        </is>
      </c>
      <c r="B113" s="23" t="inlineStr">
        <is>
          <t>Airbus A321-200</t>
        </is>
      </c>
      <c r="C113" s="23" t="inlineStr">
        <is>
          <t>NARROW</t>
        </is>
      </c>
      <c r="D113" s="23" t="inlineStr">
        <is>
          <t>2019-01-20</t>
        </is>
      </c>
      <c r="E113" s="23" t="n">
        <v>9104</v>
      </c>
      <c r="F113" s="23" t="n">
        <v>3380</v>
      </c>
      <c r="G113" s="23" t="inlineStr">
        <is>
          <t>C</t>
        </is>
      </c>
      <c r="H113" s="23" t="n">
        <v>3069</v>
      </c>
      <c r="I113" s="23" t="n">
        <v>2087</v>
      </c>
      <c r="J113" s="23" t="inlineStr">
        <is>
          <t>2024-08-03</t>
        </is>
      </c>
      <c r="K113" s="23" t="n">
        <v>533</v>
      </c>
      <c r="L113" s="23" t="inlineStr">
        <is>
          <t>2025-10-12</t>
        </is>
      </c>
      <c r="M113" s="23" t="n">
        <v>98</v>
      </c>
      <c r="N113" s="23" t="n">
        <v>13.2</v>
      </c>
      <c r="O113" s="23" t="inlineStr">
        <is>
          <t>Aktif</t>
        </is>
      </c>
    </row>
    <row r="114">
      <c r="A114" s="23" t="inlineStr">
        <is>
          <t>TC-JRJ42</t>
        </is>
      </c>
      <c r="B114" s="23" t="inlineStr">
        <is>
          <t>Airbus A321-200</t>
        </is>
      </c>
      <c r="C114" s="23" t="inlineStr">
        <is>
          <t>NARROW</t>
        </is>
      </c>
      <c r="D114" s="23" t="inlineStr">
        <is>
          <t>2024-01-19</t>
        </is>
      </c>
      <c r="E114" s="23" t="n">
        <v>4908</v>
      </c>
      <c r="F114" s="23" t="n">
        <v>1682</v>
      </c>
      <c r="G114" s="23" t="inlineStr">
        <is>
          <t>C</t>
        </is>
      </c>
      <c r="H114" s="23" t="n">
        <v>4910</v>
      </c>
      <c r="I114" s="23" t="n">
        <v>3113</v>
      </c>
      <c r="J114" s="23" t="inlineStr">
        <is>
          <t>2025-06-21</t>
        </is>
      </c>
      <c r="K114" s="23" t="n">
        <v>211</v>
      </c>
      <c r="L114" s="23" t="inlineStr">
        <is>
          <t>2023-10-01</t>
        </is>
      </c>
      <c r="M114" s="23" t="n">
        <v>840</v>
      </c>
      <c r="N114" s="23" t="n">
        <v>6.6</v>
      </c>
      <c r="O114" s="23" t="inlineStr">
        <is>
          <t>Aktif</t>
        </is>
      </c>
    </row>
    <row r="115">
      <c r="A115" s="23" t="inlineStr">
        <is>
          <t>TC-JRK89</t>
        </is>
      </c>
      <c r="B115" s="23" t="inlineStr">
        <is>
          <t>Airbus A321-200</t>
        </is>
      </c>
      <c r="C115" s="23" t="inlineStr">
        <is>
          <t>NARROW</t>
        </is>
      </c>
      <c r="D115" s="23" t="inlineStr">
        <is>
          <t>2023-01-19</t>
        </is>
      </c>
      <c r="E115" s="23" t="n">
        <v>22572</v>
      </c>
      <c r="F115" s="23" t="n">
        <v>7985</v>
      </c>
      <c r="G115" s="23" t="inlineStr">
        <is>
          <t>C</t>
        </is>
      </c>
      <c r="H115" s="23" t="n">
        <v>2960</v>
      </c>
      <c r="I115" s="23" t="n">
        <v>2377</v>
      </c>
      <c r="J115" s="23" t="inlineStr">
        <is>
          <t>2025-02-26</t>
        </is>
      </c>
      <c r="K115" s="23" t="n">
        <v>326</v>
      </c>
      <c r="L115" s="23" t="inlineStr">
        <is>
          <t>2020-10-07</t>
        </is>
      </c>
      <c r="M115" s="23" t="n">
        <v>1929</v>
      </c>
      <c r="N115" s="23" t="n">
        <v>8.6</v>
      </c>
      <c r="O115" s="23" t="inlineStr">
        <is>
          <t>Aktif</t>
        </is>
      </c>
    </row>
    <row r="116">
      <c r="A116" s="23" t="inlineStr">
        <is>
          <t>TC-JRL80</t>
        </is>
      </c>
      <c r="B116" s="23" t="inlineStr">
        <is>
          <t>Airbus A321-200</t>
        </is>
      </c>
      <c r="C116" s="23" t="inlineStr">
        <is>
          <t>NARROW</t>
        </is>
      </c>
      <c r="D116" s="23" t="inlineStr">
        <is>
          <t>2014-01-21</t>
        </is>
      </c>
      <c r="E116" s="23" t="n">
        <v>10341</v>
      </c>
      <c r="F116" s="23" t="n">
        <v>5489</v>
      </c>
      <c r="G116" s="23" t="inlineStr">
        <is>
          <t>B</t>
        </is>
      </c>
      <c r="H116" s="23" t="n">
        <v>1487</v>
      </c>
      <c r="I116" s="23" t="n">
        <v>436</v>
      </c>
      <c r="J116" s="23" t="inlineStr">
        <is>
          <t>2024-06-05</t>
        </is>
      </c>
      <c r="K116" s="23" t="n">
        <v>592</v>
      </c>
      <c r="L116" s="23" t="inlineStr">
        <is>
          <t>2023-10-08</t>
        </is>
      </c>
      <c r="M116" s="23" t="n">
        <v>833</v>
      </c>
      <c r="N116" s="23" t="n">
        <v>10.4</v>
      </c>
      <c r="O116" s="23" t="inlineStr">
        <is>
          <t>Aktif</t>
        </is>
      </c>
    </row>
    <row r="117">
      <c r="A117" s="23" t="inlineStr">
        <is>
          <t>TC-JRM48</t>
        </is>
      </c>
      <c r="B117" s="23" t="inlineStr">
        <is>
          <t>Airbus A321-200</t>
        </is>
      </c>
      <c r="C117" s="23" t="inlineStr">
        <is>
          <t>NARROW</t>
        </is>
      </c>
      <c r="D117" s="23" t="inlineStr">
        <is>
          <t>2012-01-22</t>
        </is>
      </c>
      <c r="E117" s="23" t="n">
        <v>20803</v>
      </c>
      <c r="F117" s="23" t="n">
        <v>10832</v>
      </c>
      <c r="G117" s="23" t="inlineStr">
        <is>
          <t>C</t>
        </is>
      </c>
      <c r="H117" s="23" t="n">
        <v>5469</v>
      </c>
      <c r="I117" s="23" t="n">
        <v>2981</v>
      </c>
      <c r="J117" s="23" t="inlineStr">
        <is>
          <t>2025-02-13</t>
        </is>
      </c>
      <c r="K117" s="23" t="n">
        <v>339</v>
      </c>
      <c r="L117" s="23" t="inlineStr">
        <is>
          <t>2022-09-28</t>
        </is>
      </c>
      <c r="M117" s="23" t="n">
        <v>1208</v>
      </c>
      <c r="N117" s="23" t="n">
        <v>9.5</v>
      </c>
      <c r="O117" s="23" t="inlineStr">
        <is>
          <t>Aktif</t>
        </is>
      </c>
    </row>
    <row r="118">
      <c r="A118" s="23" t="inlineStr">
        <is>
          <t>TC-JRN75</t>
        </is>
      </c>
      <c r="B118" s="23" t="inlineStr">
        <is>
          <t>Airbus A321-200</t>
        </is>
      </c>
      <c r="C118" s="23" t="inlineStr">
        <is>
          <t>NARROW</t>
        </is>
      </c>
      <c r="D118" s="23" t="inlineStr">
        <is>
          <t>2012-01-22</t>
        </is>
      </c>
      <c r="E118" s="23" t="n">
        <v>33010</v>
      </c>
      <c r="F118" s="23" t="n">
        <v>10691</v>
      </c>
      <c r="G118" s="23" t="inlineStr">
        <is>
          <t>C</t>
        </is>
      </c>
      <c r="H118" s="23" t="n">
        <v>1890</v>
      </c>
      <c r="I118" s="23" t="n">
        <v>2998</v>
      </c>
      <c r="J118" s="23" t="inlineStr">
        <is>
          <t>2025-10-14</t>
        </is>
      </c>
      <c r="K118" s="23" t="n">
        <v>96</v>
      </c>
      <c r="L118" s="23" t="inlineStr">
        <is>
          <t>2023-09-10</t>
        </is>
      </c>
      <c r="M118" s="23" t="n">
        <v>861</v>
      </c>
      <c r="N118" s="23" t="n">
        <v>11.3</v>
      </c>
      <c r="O118" s="23" t="inlineStr">
        <is>
          <t>Aktif</t>
        </is>
      </c>
    </row>
    <row r="119">
      <c r="A119" s="23" t="inlineStr">
        <is>
          <t>TC-JRO21</t>
        </is>
      </c>
      <c r="B119" s="23" t="inlineStr">
        <is>
          <t>Airbus A321-200</t>
        </is>
      </c>
      <c r="C119" s="23" t="inlineStr">
        <is>
          <t>NARROW</t>
        </is>
      </c>
      <c r="D119" s="23" t="inlineStr">
        <is>
          <t>2021-01-19</t>
        </is>
      </c>
      <c r="E119" s="23" t="n">
        <v>17392</v>
      </c>
      <c r="F119" s="23" t="n">
        <v>6111</v>
      </c>
      <c r="G119" s="23" t="inlineStr">
        <is>
          <t>A</t>
        </is>
      </c>
      <c r="H119" s="23" t="n">
        <v>200</v>
      </c>
      <c r="I119" s="23" t="n">
        <v>42</v>
      </c>
      <c r="J119" s="23" t="inlineStr">
        <is>
          <t>2025-11-22</t>
        </is>
      </c>
      <c r="K119" s="23" t="n">
        <v>57</v>
      </c>
      <c r="L119" s="23" t="inlineStr">
        <is>
          <t>2024-09-19</t>
        </is>
      </c>
      <c r="M119" s="23" t="n">
        <v>486</v>
      </c>
      <c r="N119" s="23" t="n">
        <v>10.9</v>
      </c>
      <c r="O119" s="23" t="inlineStr">
        <is>
          <t>Aktif</t>
        </is>
      </c>
    </row>
    <row r="120">
      <c r="A120" s="23" t="inlineStr">
        <is>
          <t>TC-JRP68</t>
        </is>
      </c>
      <c r="B120" s="23" t="inlineStr">
        <is>
          <t>Airbus A321-200</t>
        </is>
      </c>
      <c r="C120" s="23" t="inlineStr">
        <is>
          <t>NARROW</t>
        </is>
      </c>
      <c r="D120" s="23" t="inlineStr">
        <is>
          <t>2015-01-21</t>
        </is>
      </c>
      <c r="E120" s="23" t="n">
        <v>29160</v>
      </c>
      <c r="F120" s="23" t="n">
        <v>8911</v>
      </c>
      <c r="G120" s="23" t="inlineStr">
        <is>
          <t>A</t>
        </is>
      </c>
      <c r="H120" s="23" t="n">
        <v>443</v>
      </c>
      <c r="I120" s="23" t="n">
        <v>283</v>
      </c>
      <c r="J120" s="23" t="inlineStr">
        <is>
          <t>2024-11-25</t>
        </is>
      </c>
      <c r="K120" s="23" t="n">
        <v>419</v>
      </c>
      <c r="L120" s="23" t="inlineStr">
        <is>
          <t>2024-12-12</t>
        </is>
      </c>
      <c r="M120" s="23" t="n">
        <v>402</v>
      </c>
      <c r="N120" s="23" t="n">
        <v>11.2</v>
      </c>
      <c r="O120" s="23" t="inlineStr">
        <is>
          <t>Aktif</t>
        </is>
      </c>
    </row>
    <row r="121">
      <c r="A121" s="23" t="inlineStr">
        <is>
          <t>TC-JRQ23</t>
        </is>
      </c>
      <c r="B121" s="23" t="inlineStr">
        <is>
          <t>Airbus A321-200</t>
        </is>
      </c>
      <c r="C121" s="23" t="inlineStr">
        <is>
          <t>NARROW</t>
        </is>
      </c>
      <c r="D121" s="23" t="inlineStr">
        <is>
          <t>2012-01-22</t>
        </is>
      </c>
      <c r="E121" s="23" t="n">
        <v>29862</v>
      </c>
      <c r="F121" s="23" t="n">
        <v>15411</v>
      </c>
      <c r="G121" s="23" t="inlineStr">
        <is>
          <t>C</t>
        </is>
      </c>
      <c r="H121" s="23" t="n">
        <v>4743</v>
      </c>
      <c r="I121" s="23" t="n">
        <v>2202</v>
      </c>
      <c r="J121" s="23" t="inlineStr">
        <is>
          <t>2025-11-18</t>
        </is>
      </c>
      <c r="K121" s="23" t="n">
        <v>61</v>
      </c>
      <c r="L121" s="23" t="inlineStr">
        <is>
          <t>2021-11-17</t>
        </is>
      </c>
      <c r="M121" s="23" t="n">
        <v>1523</v>
      </c>
      <c r="N121" s="23" t="n">
        <v>13.3</v>
      </c>
      <c r="O121" s="23" t="inlineStr">
        <is>
          <t>Aktif</t>
        </is>
      </c>
    </row>
    <row r="122">
      <c r="A122" s="23" t="inlineStr">
        <is>
          <t>TC-JRR68</t>
        </is>
      </c>
      <c r="B122" s="23" t="inlineStr">
        <is>
          <t>Airbus A321-200</t>
        </is>
      </c>
      <c r="C122" s="23" t="inlineStr">
        <is>
          <t>NARROW</t>
        </is>
      </c>
      <c r="D122" s="23" t="inlineStr">
        <is>
          <t>2014-01-21</t>
        </is>
      </c>
      <c r="E122" s="23" t="n">
        <v>10738</v>
      </c>
      <c r="F122" s="23" t="n">
        <v>3460</v>
      </c>
      <c r="G122" s="23" t="inlineStr">
        <is>
          <t>C</t>
        </is>
      </c>
      <c r="H122" s="23" t="n">
        <v>5078</v>
      </c>
      <c r="I122" s="23" t="n">
        <v>2738</v>
      </c>
      <c r="J122" s="23" t="inlineStr">
        <is>
          <t>2025-02-18</t>
        </is>
      </c>
      <c r="K122" s="23" t="n">
        <v>334</v>
      </c>
      <c r="L122" s="23" t="inlineStr">
        <is>
          <t>2019-09-29</t>
        </is>
      </c>
      <c r="M122" s="23" t="n">
        <v>2303</v>
      </c>
      <c r="N122" s="23" t="n">
        <v>10.9</v>
      </c>
      <c r="O122" s="23" t="inlineStr">
        <is>
          <t>Bakımda</t>
        </is>
      </c>
    </row>
    <row r="123">
      <c r="A123" s="23" t="inlineStr">
        <is>
          <t>TC-JRS80</t>
        </is>
      </c>
      <c r="B123" s="23" t="inlineStr">
        <is>
          <t>Airbus A321-200</t>
        </is>
      </c>
      <c r="C123" s="23" t="inlineStr">
        <is>
          <t>NARROW</t>
        </is>
      </c>
      <c r="D123" s="23" t="inlineStr">
        <is>
          <t>2013-01-21</t>
        </is>
      </c>
      <c r="E123" s="23" t="n">
        <v>31223</v>
      </c>
      <c r="F123" s="23" t="n">
        <v>9477</v>
      </c>
      <c r="G123" s="23" t="inlineStr">
        <is>
          <t>B</t>
        </is>
      </c>
      <c r="H123" s="23" t="n">
        <v>1021</v>
      </c>
      <c r="I123" s="23" t="n">
        <v>610</v>
      </c>
      <c r="J123" s="23" t="inlineStr">
        <is>
          <t>2025-04-30</t>
        </is>
      </c>
      <c r="K123" s="23" t="n">
        <v>263</v>
      </c>
      <c r="L123" s="23" t="inlineStr">
        <is>
          <t>2019-08-10</t>
        </is>
      </c>
      <c r="M123" s="23" t="n">
        <v>2353</v>
      </c>
      <c r="N123" s="23" t="n">
        <v>8.199999999999999</v>
      </c>
      <c r="O123" s="23" t="inlineStr">
        <is>
          <t>Bakımda</t>
        </is>
      </c>
    </row>
    <row r="124">
      <c r="A124" s="23" t="inlineStr">
        <is>
          <t>TC-JRT90</t>
        </is>
      </c>
      <c r="B124" s="23" t="inlineStr">
        <is>
          <t>Airbus A321-200</t>
        </is>
      </c>
      <c r="C124" s="23" t="inlineStr">
        <is>
          <t>NARROW</t>
        </is>
      </c>
      <c r="D124" s="23" t="inlineStr">
        <is>
          <t>2023-01-19</t>
        </is>
      </c>
      <c r="E124" s="23" t="n">
        <v>17679</v>
      </c>
      <c r="F124" s="23" t="n">
        <v>8627</v>
      </c>
      <c r="G124" s="23" t="inlineStr">
        <is>
          <t>C</t>
        </is>
      </c>
      <c r="H124" s="23" t="n">
        <v>2840</v>
      </c>
      <c r="I124" s="23" t="n">
        <v>1260</v>
      </c>
      <c r="J124" s="23" t="inlineStr">
        <is>
          <t>2025-04-05</t>
        </is>
      </c>
      <c r="K124" s="23" t="n">
        <v>288</v>
      </c>
      <c r="L124" s="23" t="inlineStr">
        <is>
          <t>2023-10-30</t>
        </is>
      </c>
      <c r="M124" s="23" t="n">
        <v>811</v>
      </c>
      <c r="N124" s="23" t="n">
        <v>13.1</v>
      </c>
      <c r="O124" s="23" t="inlineStr">
        <is>
          <t>Aktif</t>
        </is>
      </c>
    </row>
    <row r="125">
      <c r="A125" s="23" t="inlineStr">
        <is>
          <t>TC-JRU27</t>
        </is>
      </c>
      <c r="B125" s="23" t="inlineStr">
        <is>
          <t>Airbus A321-200</t>
        </is>
      </c>
      <c r="C125" s="23" t="inlineStr">
        <is>
          <t>NARROW</t>
        </is>
      </c>
      <c r="D125" s="23" t="inlineStr">
        <is>
          <t>2013-01-21</t>
        </is>
      </c>
      <c r="E125" s="23" t="n">
        <v>11884</v>
      </c>
      <c r="F125" s="23" t="n">
        <v>6055</v>
      </c>
      <c r="G125" s="23" t="inlineStr">
        <is>
          <t>A</t>
        </is>
      </c>
      <c r="H125" s="23" t="n">
        <v>269</v>
      </c>
      <c r="I125" s="23" t="n">
        <v>62</v>
      </c>
      <c r="J125" s="23" t="inlineStr">
        <is>
          <t>2024-11-10</t>
        </is>
      </c>
      <c r="K125" s="23" t="n">
        <v>434</v>
      </c>
      <c r="L125" s="23" t="inlineStr">
        <is>
          <t>2022-10-27</t>
        </is>
      </c>
      <c r="M125" s="23" t="n">
        <v>1179</v>
      </c>
      <c r="N125" s="23" t="n">
        <v>10.3</v>
      </c>
      <c r="O125" s="23" t="inlineStr">
        <is>
          <t>Bakımda</t>
        </is>
      </c>
    </row>
    <row r="126">
      <c r="A126" s="23" t="inlineStr">
        <is>
          <t>TC-JVA21</t>
        </is>
      </c>
      <c r="B126" s="23" t="inlineStr">
        <is>
          <t>Boeing 737-800</t>
        </is>
      </c>
      <c r="C126" s="23" t="inlineStr">
        <is>
          <t>NARROW</t>
        </is>
      </c>
      <c r="D126" s="23" t="inlineStr">
        <is>
          <t>2013-01-21</t>
        </is>
      </c>
      <c r="E126" s="23" t="n">
        <v>22944</v>
      </c>
      <c r="F126" s="23" t="n">
        <v>8091</v>
      </c>
      <c r="G126" s="23" t="inlineStr">
        <is>
          <t>A</t>
        </is>
      </c>
      <c r="H126" s="23" t="n">
        <v>347</v>
      </c>
      <c r="I126" s="23" t="n">
        <v>183</v>
      </c>
      <c r="J126" s="23" t="inlineStr">
        <is>
          <t>2025-07-31</t>
        </is>
      </c>
      <c r="K126" s="23" t="n">
        <v>171</v>
      </c>
      <c r="L126" s="23" t="inlineStr">
        <is>
          <t>2020-07-24</t>
        </is>
      </c>
      <c r="M126" s="23" t="n">
        <v>2004</v>
      </c>
      <c r="N126" s="23" t="n">
        <v>11.1</v>
      </c>
      <c r="O126" s="23" t="inlineStr">
        <is>
          <t>Aktif</t>
        </is>
      </c>
    </row>
    <row r="127">
      <c r="A127" s="23" t="inlineStr">
        <is>
          <t>TC-JVB33</t>
        </is>
      </c>
      <c r="B127" s="23" t="inlineStr">
        <is>
          <t>Boeing 737-800</t>
        </is>
      </c>
      <c r="C127" s="23" t="inlineStr">
        <is>
          <t>NARROW</t>
        </is>
      </c>
      <c r="D127" s="23" t="inlineStr">
        <is>
          <t>2012-01-22</t>
        </is>
      </c>
      <c r="E127" s="23" t="n">
        <v>16037</v>
      </c>
      <c r="F127" s="23" t="n">
        <v>7344</v>
      </c>
      <c r="G127" s="23" t="inlineStr">
        <is>
          <t>B</t>
        </is>
      </c>
      <c r="H127" s="23" t="n">
        <v>493</v>
      </c>
      <c r="I127" s="23" t="n">
        <v>543</v>
      </c>
      <c r="J127" s="23" t="inlineStr">
        <is>
          <t>2025-08-21</t>
        </is>
      </c>
      <c r="K127" s="23" t="n">
        <v>150</v>
      </c>
      <c r="L127" s="23" t="inlineStr">
        <is>
          <t>2024-12-30</t>
        </is>
      </c>
      <c r="M127" s="23" t="n">
        <v>384</v>
      </c>
      <c r="N127" s="23" t="n">
        <v>8.4</v>
      </c>
      <c r="O127" s="23" t="inlineStr">
        <is>
          <t>Aktif</t>
        </is>
      </c>
    </row>
    <row r="128">
      <c r="A128" s="23" t="inlineStr">
        <is>
          <t>TC-JVB75</t>
        </is>
      </c>
      <c r="B128" s="23" t="inlineStr">
        <is>
          <t>Boeing 737-800</t>
        </is>
      </c>
      <c r="C128" s="23" t="inlineStr">
        <is>
          <t>NARROW</t>
        </is>
      </c>
      <c r="D128" s="23" t="inlineStr">
        <is>
          <t>2021-01-19</t>
        </is>
      </c>
      <c r="E128" s="23" t="n">
        <v>16695</v>
      </c>
      <c r="F128" s="23" t="n">
        <v>9579</v>
      </c>
      <c r="G128" s="23" t="inlineStr">
        <is>
          <t>A</t>
        </is>
      </c>
      <c r="H128" s="23" t="n">
        <v>292</v>
      </c>
      <c r="I128" s="23" t="n">
        <v>282</v>
      </c>
      <c r="J128" s="23" t="inlineStr">
        <is>
          <t>2025-12-13</t>
        </is>
      </c>
      <c r="K128" s="23" t="n">
        <v>36</v>
      </c>
      <c r="L128" s="23" t="inlineStr">
        <is>
          <t>2023-08-31</t>
        </is>
      </c>
      <c r="M128" s="23" t="n">
        <v>871</v>
      </c>
      <c r="N128" s="23" t="n">
        <v>10.6</v>
      </c>
      <c r="O128" s="23" t="inlineStr">
        <is>
          <t>Bakımda</t>
        </is>
      </c>
    </row>
    <row r="129">
      <c r="A129" s="23" t="inlineStr">
        <is>
          <t>TC-JVC74</t>
        </is>
      </c>
      <c r="B129" s="23" t="inlineStr">
        <is>
          <t>Boeing 737-800</t>
        </is>
      </c>
      <c r="C129" s="23" t="inlineStr">
        <is>
          <t>NARROW</t>
        </is>
      </c>
      <c r="D129" s="23" t="inlineStr">
        <is>
          <t>2012-01-22</t>
        </is>
      </c>
      <c r="E129" s="23" t="n">
        <v>4473</v>
      </c>
      <c r="F129" s="23" t="n">
        <v>1584</v>
      </c>
      <c r="G129" s="23" t="inlineStr">
        <is>
          <t>C</t>
        </is>
      </c>
      <c r="H129" s="23" t="n">
        <v>1573</v>
      </c>
      <c r="I129" s="23" t="n">
        <v>2746</v>
      </c>
      <c r="J129" s="23" t="inlineStr">
        <is>
          <t>2024-12-19</t>
        </is>
      </c>
      <c r="K129" s="23" t="n">
        <v>395</v>
      </c>
      <c r="L129" s="23" t="inlineStr">
        <is>
          <t>2024-12-08</t>
        </is>
      </c>
      <c r="M129" s="23" t="n">
        <v>406</v>
      </c>
      <c r="N129" s="23" t="n">
        <v>7.4</v>
      </c>
      <c r="O129" s="23" t="inlineStr">
        <is>
          <t>Aktif</t>
        </is>
      </c>
    </row>
    <row r="130">
      <c r="A130" s="23" t="inlineStr">
        <is>
          <t>TC-JVC80</t>
        </is>
      </c>
      <c r="B130" s="23" t="inlineStr">
        <is>
          <t>Boeing 737-800</t>
        </is>
      </c>
      <c r="C130" s="23" t="inlineStr">
        <is>
          <t>NARROW</t>
        </is>
      </c>
      <c r="D130" s="23" t="inlineStr">
        <is>
          <t>2023-01-19</t>
        </is>
      </c>
      <c r="E130" s="23" t="n">
        <v>10504</v>
      </c>
      <c r="F130" s="23" t="n">
        <v>3856</v>
      </c>
      <c r="G130" s="23" t="inlineStr">
        <is>
          <t>A</t>
        </is>
      </c>
      <c r="H130" s="23" t="n">
        <v>366</v>
      </c>
      <c r="I130" s="23" t="n">
        <v>233</v>
      </c>
      <c r="J130" s="23" t="inlineStr">
        <is>
          <t>2024-09-05</t>
        </is>
      </c>
      <c r="K130" s="23" t="n">
        <v>500</v>
      </c>
      <c r="L130" s="23" t="inlineStr">
        <is>
          <t>2021-10-06</t>
        </is>
      </c>
      <c r="M130" s="23" t="n">
        <v>1565</v>
      </c>
      <c r="N130" s="23" t="n">
        <v>12.2</v>
      </c>
      <c r="O130" s="23" t="inlineStr">
        <is>
          <t>Aktif</t>
        </is>
      </c>
    </row>
    <row r="131">
      <c r="A131" s="23" t="inlineStr">
        <is>
          <t>TC-JVD26</t>
        </is>
      </c>
      <c r="B131" s="23" t="inlineStr">
        <is>
          <t>Boeing 737-800</t>
        </is>
      </c>
      <c r="C131" s="23" t="inlineStr">
        <is>
          <t>NARROW</t>
        </is>
      </c>
      <c r="D131" s="23" t="inlineStr">
        <is>
          <t>2017-01-20</t>
        </is>
      </c>
      <c r="E131" s="23" t="n">
        <v>22776</v>
      </c>
      <c r="F131" s="23" t="n">
        <v>8179</v>
      </c>
      <c r="G131" s="23" t="inlineStr">
        <is>
          <t>B</t>
        </is>
      </c>
      <c r="H131" s="23" t="n">
        <v>1492</v>
      </c>
      <c r="I131" s="23" t="n">
        <v>1139</v>
      </c>
      <c r="J131" s="23" t="inlineStr">
        <is>
          <t>2025-01-21</t>
        </is>
      </c>
      <c r="K131" s="23" t="n">
        <v>362</v>
      </c>
      <c r="L131" s="23" t="inlineStr">
        <is>
          <t>2024-08-30</t>
        </is>
      </c>
      <c r="M131" s="23" t="n">
        <v>506</v>
      </c>
      <c r="N131" s="23" t="n">
        <v>11.1</v>
      </c>
      <c r="O131" s="23" t="inlineStr">
        <is>
          <t>Aktif</t>
        </is>
      </c>
    </row>
    <row r="132">
      <c r="A132" s="23" t="inlineStr">
        <is>
          <t>TC-JVD66</t>
        </is>
      </c>
      <c r="B132" s="23" t="inlineStr">
        <is>
          <t>Boeing 737-800</t>
        </is>
      </c>
      <c r="C132" s="23" t="inlineStr">
        <is>
          <t>NARROW</t>
        </is>
      </c>
      <c r="D132" s="23" t="inlineStr">
        <is>
          <t>2014-01-21</t>
        </is>
      </c>
      <c r="E132" s="23" t="n">
        <v>4863</v>
      </c>
      <c r="F132" s="23" t="n">
        <v>2094</v>
      </c>
      <c r="G132" s="23" t="inlineStr">
        <is>
          <t>C</t>
        </is>
      </c>
      <c r="H132" s="23" t="n">
        <v>2445</v>
      </c>
      <c r="I132" s="23" t="n">
        <v>2119</v>
      </c>
      <c r="J132" s="23" t="inlineStr">
        <is>
          <t>2025-03-23</t>
        </is>
      </c>
      <c r="K132" s="23" t="n">
        <v>301</v>
      </c>
      <c r="L132" s="23" t="inlineStr">
        <is>
          <t>2019-09-28</t>
        </is>
      </c>
      <c r="M132" s="23" t="n">
        <v>2304</v>
      </c>
      <c r="N132" s="23" t="n">
        <v>7.9</v>
      </c>
      <c r="O132" s="23" t="inlineStr">
        <is>
          <t>Aktif</t>
        </is>
      </c>
    </row>
    <row r="133">
      <c r="A133" s="23" t="inlineStr">
        <is>
          <t>TC-JVE26</t>
        </is>
      </c>
      <c r="B133" s="23" t="inlineStr">
        <is>
          <t>Boeing 737-800</t>
        </is>
      </c>
      <c r="C133" s="23" t="inlineStr">
        <is>
          <t>NARROW</t>
        </is>
      </c>
      <c r="D133" s="23" t="inlineStr">
        <is>
          <t>2011-01-22</t>
        </is>
      </c>
      <c r="E133" s="23" t="n">
        <v>30352</v>
      </c>
      <c r="F133" s="23" t="n">
        <v>12113</v>
      </c>
      <c r="G133" s="23" t="inlineStr">
        <is>
          <t>A</t>
        </is>
      </c>
      <c r="H133" s="23" t="n">
        <v>177</v>
      </c>
      <c r="I133" s="23" t="n">
        <v>295</v>
      </c>
      <c r="J133" s="23" t="inlineStr">
        <is>
          <t>2025-08-05</t>
        </is>
      </c>
      <c r="K133" s="23" t="n">
        <v>166</v>
      </c>
      <c r="L133" s="23" t="inlineStr">
        <is>
          <t>2023-12-08</t>
        </is>
      </c>
      <c r="M133" s="23" t="n">
        <v>772</v>
      </c>
      <c r="N133" s="23" t="n">
        <v>7.3</v>
      </c>
      <c r="O133" s="23" t="inlineStr">
        <is>
          <t>Aktif</t>
        </is>
      </c>
    </row>
    <row r="134">
      <c r="A134" s="23" t="inlineStr">
        <is>
          <t>TC-JVE49</t>
        </is>
      </c>
      <c r="B134" s="23" t="inlineStr">
        <is>
          <t>Boeing 737-800</t>
        </is>
      </c>
      <c r="C134" s="23" t="inlineStr">
        <is>
          <t>NARROW</t>
        </is>
      </c>
      <c r="D134" s="23" t="inlineStr">
        <is>
          <t>2021-01-19</t>
        </is>
      </c>
      <c r="E134" s="23" t="n">
        <v>32737</v>
      </c>
      <c r="F134" s="23" t="n">
        <v>9896</v>
      </c>
      <c r="G134" s="23" t="inlineStr">
        <is>
          <t>B</t>
        </is>
      </c>
      <c r="H134" s="23" t="n">
        <v>1489</v>
      </c>
      <c r="I134" s="23" t="n">
        <v>982</v>
      </c>
      <c r="J134" s="23" t="inlineStr">
        <is>
          <t>2024-09-23</t>
        </is>
      </c>
      <c r="K134" s="23" t="n">
        <v>482</v>
      </c>
      <c r="L134" s="23" t="inlineStr">
        <is>
          <t>2019-11-09</t>
        </is>
      </c>
      <c r="M134" s="23" t="n">
        <v>2262</v>
      </c>
      <c r="N134" s="23" t="n">
        <v>12.2</v>
      </c>
      <c r="O134" s="23" t="inlineStr">
        <is>
          <t>Bakımda</t>
        </is>
      </c>
    </row>
    <row r="135">
      <c r="A135" s="23" t="inlineStr">
        <is>
          <t>TC-JVF30</t>
        </is>
      </c>
      <c r="B135" s="23" t="inlineStr">
        <is>
          <t>Boeing 737-800</t>
        </is>
      </c>
      <c r="C135" s="23" t="inlineStr">
        <is>
          <t>NARROW</t>
        </is>
      </c>
      <c r="D135" s="23" t="inlineStr">
        <is>
          <t>2022-01-19</t>
        </is>
      </c>
      <c r="E135" s="23" t="n">
        <v>15087</v>
      </c>
      <c r="F135" s="23" t="n">
        <v>4862</v>
      </c>
      <c r="G135" s="23" t="inlineStr">
        <is>
          <t>B</t>
        </is>
      </c>
      <c r="H135" s="23" t="n">
        <v>206</v>
      </c>
      <c r="I135" s="23" t="n">
        <v>1064</v>
      </c>
      <c r="J135" s="23" t="inlineStr">
        <is>
          <t>2024-12-24</t>
        </is>
      </c>
      <c r="K135" s="23" t="n">
        <v>390</v>
      </c>
      <c r="L135" s="23" t="inlineStr">
        <is>
          <t>2021-12-24</t>
        </is>
      </c>
      <c r="M135" s="23" t="n">
        <v>1486</v>
      </c>
      <c r="N135" s="23" t="n">
        <v>11.7</v>
      </c>
      <c r="O135" s="23" t="inlineStr">
        <is>
          <t>Aktif</t>
        </is>
      </c>
    </row>
    <row r="136">
      <c r="A136" s="23" t="inlineStr">
        <is>
          <t>TC-JVG46</t>
        </is>
      </c>
      <c r="B136" s="23" t="inlineStr">
        <is>
          <t>Boeing 737-800</t>
        </is>
      </c>
      <c r="C136" s="23" t="inlineStr">
        <is>
          <t>NARROW</t>
        </is>
      </c>
      <c r="D136" s="23" t="inlineStr">
        <is>
          <t>2020-01-20</t>
        </is>
      </c>
      <c r="E136" s="23" t="n">
        <v>7496</v>
      </c>
      <c r="F136" s="23" t="n">
        <v>2477</v>
      </c>
      <c r="G136" s="23" t="inlineStr">
        <is>
          <t>B</t>
        </is>
      </c>
      <c r="H136" s="23" t="n">
        <v>1954</v>
      </c>
      <c r="I136" s="23" t="n">
        <v>1131</v>
      </c>
      <c r="J136" s="23" t="inlineStr">
        <is>
          <t>2025-08-11</t>
        </is>
      </c>
      <c r="K136" s="23" t="n">
        <v>160</v>
      </c>
      <c r="L136" s="23" t="inlineStr">
        <is>
          <t>2019-10-01</t>
        </is>
      </c>
      <c r="M136" s="23" t="n">
        <v>2301</v>
      </c>
      <c r="N136" s="23" t="n">
        <v>6.7</v>
      </c>
      <c r="O136" s="23" t="inlineStr">
        <is>
          <t>Aktif</t>
        </is>
      </c>
    </row>
    <row r="137">
      <c r="A137" s="23" t="inlineStr">
        <is>
          <t>TC-JVH67</t>
        </is>
      </c>
      <c r="B137" s="23" t="inlineStr">
        <is>
          <t>Boeing 737-800</t>
        </is>
      </c>
      <c r="C137" s="23" t="inlineStr">
        <is>
          <t>NARROW</t>
        </is>
      </c>
      <c r="D137" s="23" t="inlineStr">
        <is>
          <t>2018-01-20</t>
        </is>
      </c>
      <c r="E137" s="23" t="n">
        <v>24910</v>
      </c>
      <c r="F137" s="23" t="n">
        <v>7411</v>
      </c>
      <c r="G137" s="23" t="inlineStr">
        <is>
          <t>A</t>
        </is>
      </c>
      <c r="H137" s="23" t="n">
        <v>455</v>
      </c>
      <c r="I137" s="23" t="n">
        <v>287</v>
      </c>
      <c r="J137" s="23" t="inlineStr">
        <is>
          <t>2024-12-22</t>
        </is>
      </c>
      <c r="K137" s="23" t="n">
        <v>392</v>
      </c>
      <c r="L137" s="23" t="inlineStr">
        <is>
          <t>2024-10-12</t>
        </is>
      </c>
      <c r="M137" s="23" t="n">
        <v>463</v>
      </c>
      <c r="N137" s="23" t="n">
        <v>14</v>
      </c>
      <c r="O137" s="23" t="inlineStr">
        <is>
          <t>Aktif</t>
        </is>
      </c>
    </row>
    <row r="138">
      <c r="A138" s="23" t="inlineStr">
        <is>
          <t>TC-JVI38</t>
        </is>
      </c>
      <c r="B138" s="23" t="inlineStr">
        <is>
          <t>Boeing 737-800</t>
        </is>
      </c>
      <c r="C138" s="23" t="inlineStr">
        <is>
          <t>NARROW</t>
        </is>
      </c>
      <c r="D138" s="23" t="inlineStr">
        <is>
          <t>2023-01-19</t>
        </is>
      </c>
      <c r="E138" s="23" t="n">
        <v>3847</v>
      </c>
      <c r="F138" s="23" t="n">
        <v>1799</v>
      </c>
      <c r="G138" s="23" t="inlineStr">
        <is>
          <t>C</t>
        </is>
      </c>
      <c r="H138" s="23" t="n">
        <v>3246</v>
      </c>
      <c r="I138" s="23" t="n">
        <v>898</v>
      </c>
      <c r="J138" s="23" t="inlineStr">
        <is>
          <t>2025-08-21</t>
        </is>
      </c>
      <c r="K138" s="23" t="n">
        <v>150</v>
      </c>
      <c r="L138" s="23" t="inlineStr">
        <is>
          <t>2025-11-06</t>
        </is>
      </c>
      <c r="M138" s="23" t="n">
        <v>73</v>
      </c>
      <c r="N138" s="23" t="n">
        <v>13.3</v>
      </c>
      <c r="O138" s="23" t="inlineStr">
        <is>
          <t>Bakımda</t>
        </is>
      </c>
    </row>
    <row r="139">
      <c r="A139" s="23" t="inlineStr">
        <is>
          <t>TC-JVJ99</t>
        </is>
      </c>
      <c r="B139" s="23" t="inlineStr">
        <is>
          <t>Boeing 737-800</t>
        </is>
      </c>
      <c r="C139" s="23" t="inlineStr">
        <is>
          <t>NARROW</t>
        </is>
      </c>
      <c r="D139" s="23" t="inlineStr">
        <is>
          <t>2017-01-20</t>
        </is>
      </c>
      <c r="E139" s="23" t="n">
        <v>11095</v>
      </c>
      <c r="F139" s="23" t="n">
        <v>3676</v>
      </c>
      <c r="G139" s="23" t="inlineStr">
        <is>
          <t>B</t>
        </is>
      </c>
      <c r="H139" s="23" t="n">
        <v>1360</v>
      </c>
      <c r="I139" s="23" t="n">
        <v>90</v>
      </c>
      <c r="J139" s="23" t="inlineStr">
        <is>
          <t>2025-10-19</t>
        </is>
      </c>
      <c r="K139" s="23" t="n">
        <v>91</v>
      </c>
      <c r="L139" s="23" t="inlineStr">
        <is>
          <t>2025-11-14</t>
        </is>
      </c>
      <c r="M139" s="23" t="n">
        <v>65</v>
      </c>
      <c r="N139" s="23" t="n">
        <v>7.7</v>
      </c>
      <c r="O139" s="23" t="inlineStr">
        <is>
          <t>Aktif</t>
        </is>
      </c>
    </row>
    <row r="140">
      <c r="A140" s="23" t="inlineStr">
        <is>
          <t>TC-JVK80</t>
        </is>
      </c>
      <c r="B140" s="23" t="inlineStr">
        <is>
          <t>Boeing 737-800</t>
        </is>
      </c>
      <c r="C140" s="23" t="inlineStr">
        <is>
          <t>NARROW</t>
        </is>
      </c>
      <c r="D140" s="23" t="inlineStr">
        <is>
          <t>2020-01-20</t>
        </is>
      </c>
      <c r="E140" s="23" t="n">
        <v>29738</v>
      </c>
      <c r="F140" s="23" t="n">
        <v>17265</v>
      </c>
      <c r="G140" s="23" t="inlineStr">
        <is>
          <t>A</t>
        </is>
      </c>
      <c r="H140" s="23" t="n">
        <v>358</v>
      </c>
      <c r="I140" s="23" t="n">
        <v>92</v>
      </c>
      <c r="J140" s="23" t="inlineStr">
        <is>
          <t>2025-11-21</t>
        </is>
      </c>
      <c r="K140" s="23" t="n">
        <v>58</v>
      </c>
      <c r="L140" s="23" t="inlineStr">
        <is>
          <t>2024-10-03</t>
        </is>
      </c>
      <c r="M140" s="23" t="n">
        <v>472</v>
      </c>
      <c r="N140" s="23" t="n">
        <v>11.1</v>
      </c>
      <c r="O140" s="23" t="inlineStr">
        <is>
          <t>Bakımda</t>
        </is>
      </c>
    </row>
    <row r="141">
      <c r="A141" s="23" t="inlineStr">
        <is>
          <t>TC-JVL18</t>
        </is>
      </c>
      <c r="B141" s="23" t="inlineStr">
        <is>
          <t>Boeing 737-800</t>
        </is>
      </c>
      <c r="C141" s="23" t="inlineStr">
        <is>
          <t>NARROW</t>
        </is>
      </c>
      <c r="D141" s="23" t="inlineStr">
        <is>
          <t>2017-01-20</t>
        </is>
      </c>
      <c r="E141" s="23" t="n">
        <v>9265</v>
      </c>
      <c r="F141" s="23" t="n">
        <v>2919</v>
      </c>
      <c r="G141" s="23" t="inlineStr">
        <is>
          <t>C</t>
        </is>
      </c>
      <c r="H141" s="23" t="n">
        <v>4891</v>
      </c>
      <c r="I141" s="23" t="n">
        <v>367</v>
      </c>
      <c r="J141" s="23" t="inlineStr">
        <is>
          <t>2024-07-30</t>
        </is>
      </c>
      <c r="K141" s="23" t="n">
        <v>537</v>
      </c>
      <c r="L141" s="23" t="inlineStr">
        <is>
          <t>2021-11-19</t>
        </is>
      </c>
      <c r="M141" s="23" t="n">
        <v>1521</v>
      </c>
      <c r="N141" s="23" t="n">
        <v>11.7</v>
      </c>
      <c r="O141" s="23" t="inlineStr">
        <is>
          <t>Aktif</t>
        </is>
      </c>
    </row>
    <row r="142">
      <c r="A142" s="23" t="inlineStr">
        <is>
          <t>TC-JVM64</t>
        </is>
      </c>
      <c r="B142" s="23" t="inlineStr">
        <is>
          <t>Boeing 737-800</t>
        </is>
      </c>
      <c r="C142" s="23" t="inlineStr">
        <is>
          <t>NARROW</t>
        </is>
      </c>
      <c r="D142" s="23" t="inlineStr">
        <is>
          <t>2021-01-19</t>
        </is>
      </c>
      <c r="E142" s="23" t="n">
        <v>2102</v>
      </c>
      <c r="F142" s="23" t="n">
        <v>770</v>
      </c>
      <c r="G142" s="23" t="inlineStr">
        <is>
          <t>C</t>
        </is>
      </c>
      <c r="H142" s="23" t="n">
        <v>3912</v>
      </c>
      <c r="I142" s="23" t="n">
        <v>1067</v>
      </c>
      <c r="J142" s="23" t="inlineStr">
        <is>
          <t>2025-10-13</t>
        </is>
      </c>
      <c r="K142" s="23" t="n">
        <v>97</v>
      </c>
      <c r="L142" s="23" t="inlineStr">
        <is>
          <t>2021-10-19</t>
        </is>
      </c>
      <c r="M142" s="23" t="n">
        <v>1552</v>
      </c>
      <c r="N142" s="23" t="n">
        <v>6.5</v>
      </c>
      <c r="O142" s="23" t="inlineStr">
        <is>
          <t>Aktif</t>
        </is>
      </c>
    </row>
    <row r="143">
      <c r="A143" s="23" t="inlineStr">
        <is>
          <t>TC-JVN59</t>
        </is>
      </c>
      <c r="B143" s="23" t="inlineStr">
        <is>
          <t>Boeing 737-800</t>
        </is>
      </c>
      <c r="C143" s="23" t="inlineStr">
        <is>
          <t>NARROW</t>
        </is>
      </c>
      <c r="D143" s="23" t="inlineStr">
        <is>
          <t>2018-01-20</t>
        </is>
      </c>
      <c r="E143" s="23" t="n">
        <v>32810</v>
      </c>
      <c r="F143" s="23" t="n">
        <v>20673</v>
      </c>
      <c r="G143" s="23" t="inlineStr">
        <is>
          <t>B</t>
        </is>
      </c>
      <c r="H143" s="23" t="n">
        <v>619</v>
      </c>
      <c r="I143" s="23" t="n">
        <v>113</v>
      </c>
      <c r="J143" s="23" t="inlineStr">
        <is>
          <t>2025-01-08</t>
        </is>
      </c>
      <c r="K143" s="23" t="n">
        <v>375</v>
      </c>
      <c r="L143" s="23" t="inlineStr">
        <is>
          <t>2020-01-03</t>
        </is>
      </c>
      <c r="M143" s="23" t="n">
        <v>2207</v>
      </c>
      <c r="N143" s="23" t="n">
        <v>8.800000000000001</v>
      </c>
      <c r="O143" s="23" t="inlineStr">
        <is>
          <t>Aktif</t>
        </is>
      </c>
    </row>
    <row r="144">
      <c r="A144" s="23" t="inlineStr">
        <is>
          <t>TC-JVO84</t>
        </is>
      </c>
      <c r="B144" s="23" t="inlineStr">
        <is>
          <t>Boeing 737-800</t>
        </is>
      </c>
      <c r="C144" s="23" t="inlineStr">
        <is>
          <t>NARROW</t>
        </is>
      </c>
      <c r="D144" s="23" t="inlineStr">
        <is>
          <t>2019-01-20</t>
        </is>
      </c>
      <c r="E144" s="23" t="n">
        <v>23791</v>
      </c>
      <c r="F144" s="23" t="n">
        <v>13465</v>
      </c>
      <c r="G144" s="23" t="inlineStr">
        <is>
          <t>C</t>
        </is>
      </c>
      <c r="H144" s="23" t="n">
        <v>3273</v>
      </c>
      <c r="I144" s="23" t="n">
        <v>2932</v>
      </c>
      <c r="J144" s="23" t="inlineStr">
        <is>
          <t>2025-07-13</t>
        </is>
      </c>
      <c r="K144" s="23" t="n">
        <v>189</v>
      </c>
      <c r="L144" s="23" t="inlineStr">
        <is>
          <t>2019-07-29</t>
        </is>
      </c>
      <c r="M144" s="23" t="n">
        <v>2365</v>
      </c>
      <c r="N144" s="23" t="n">
        <v>9.699999999999999</v>
      </c>
      <c r="O144" s="23" t="inlineStr">
        <is>
          <t>Bakımda</t>
        </is>
      </c>
    </row>
    <row r="145">
      <c r="A145" s="23" t="inlineStr">
        <is>
          <t>TC-JVP90</t>
        </is>
      </c>
      <c r="B145" s="23" t="inlineStr">
        <is>
          <t>Boeing 737-800</t>
        </is>
      </c>
      <c r="C145" s="23" t="inlineStr">
        <is>
          <t>NARROW</t>
        </is>
      </c>
      <c r="D145" s="23" t="inlineStr">
        <is>
          <t>2023-01-19</t>
        </is>
      </c>
      <c r="E145" s="23" t="n">
        <v>13945</v>
      </c>
      <c r="F145" s="23" t="n">
        <v>4465</v>
      </c>
      <c r="G145" s="23" t="inlineStr">
        <is>
          <t>C</t>
        </is>
      </c>
      <c r="H145" s="23" t="n">
        <v>4249</v>
      </c>
      <c r="I145" s="23" t="n">
        <v>451</v>
      </c>
      <c r="J145" s="23" t="inlineStr">
        <is>
          <t>2025-03-14</t>
        </is>
      </c>
      <c r="K145" s="23" t="n">
        <v>310</v>
      </c>
      <c r="L145" s="23" t="inlineStr">
        <is>
          <t>2025-01-07</t>
        </is>
      </c>
      <c r="M145" s="23" t="n">
        <v>376</v>
      </c>
      <c r="N145" s="23" t="n">
        <v>12.3</v>
      </c>
      <c r="O145" s="23" t="inlineStr">
        <is>
          <t>Aktif</t>
        </is>
      </c>
    </row>
    <row r="146">
      <c r="A146" s="23" t="inlineStr">
        <is>
          <t>TC-JVQ50</t>
        </is>
      </c>
      <c r="B146" s="23" t="inlineStr">
        <is>
          <t>Boeing 737-800</t>
        </is>
      </c>
      <c r="C146" s="23" t="inlineStr">
        <is>
          <t>NARROW</t>
        </is>
      </c>
      <c r="D146" s="23" t="inlineStr">
        <is>
          <t>2011-01-22</t>
        </is>
      </c>
      <c r="E146" s="23" t="n">
        <v>22321</v>
      </c>
      <c r="F146" s="23" t="n">
        <v>8819</v>
      </c>
      <c r="G146" s="23" t="inlineStr">
        <is>
          <t>C</t>
        </is>
      </c>
      <c r="H146" s="23" t="n">
        <v>4378</v>
      </c>
      <c r="I146" s="23" t="n">
        <v>1337</v>
      </c>
      <c r="J146" s="23" t="inlineStr">
        <is>
          <t>2025-12-02</t>
        </is>
      </c>
      <c r="K146" s="23" t="n">
        <v>47</v>
      </c>
      <c r="L146" s="23" t="inlineStr">
        <is>
          <t>2019-08-08</t>
        </is>
      </c>
      <c r="M146" s="23" t="n">
        <v>2355</v>
      </c>
      <c r="N146" s="23" t="n">
        <v>7.5</v>
      </c>
      <c r="O146" s="23" t="inlineStr">
        <is>
          <t>Aktif</t>
        </is>
      </c>
    </row>
    <row r="147">
      <c r="A147" s="23" t="inlineStr">
        <is>
          <t>TC-JVR16</t>
        </is>
      </c>
      <c r="B147" s="23" t="inlineStr">
        <is>
          <t>Boeing 737-800</t>
        </is>
      </c>
      <c r="C147" s="23" t="inlineStr">
        <is>
          <t>NARROW</t>
        </is>
      </c>
      <c r="D147" s="23" t="inlineStr">
        <is>
          <t>2012-01-22</t>
        </is>
      </c>
      <c r="E147" s="23" t="n">
        <v>23753</v>
      </c>
      <c r="F147" s="23" t="n">
        <v>11607</v>
      </c>
      <c r="G147" s="23" t="inlineStr">
        <is>
          <t>B</t>
        </is>
      </c>
      <c r="H147" s="23" t="n">
        <v>994</v>
      </c>
      <c r="I147" s="23" t="n">
        <v>899</v>
      </c>
      <c r="J147" s="23" t="inlineStr">
        <is>
          <t>2024-10-15</t>
        </is>
      </c>
      <c r="K147" s="23" t="n">
        <v>460</v>
      </c>
      <c r="L147" s="23" t="inlineStr">
        <is>
          <t>2022-10-25</t>
        </is>
      </c>
      <c r="M147" s="23" t="n">
        <v>1181</v>
      </c>
      <c r="N147" s="23" t="n">
        <v>13.8</v>
      </c>
      <c r="O147" s="23" t="inlineStr">
        <is>
          <t>Bakımda</t>
        </is>
      </c>
    </row>
    <row r="148">
      <c r="A148" s="23" t="inlineStr">
        <is>
          <t>TC-JVS98</t>
        </is>
      </c>
      <c r="B148" s="23" t="inlineStr">
        <is>
          <t>Boeing 737-800</t>
        </is>
      </c>
      <c r="C148" s="23" t="inlineStr">
        <is>
          <t>NARROW</t>
        </is>
      </c>
      <c r="D148" s="23" t="inlineStr">
        <is>
          <t>2012-01-22</t>
        </is>
      </c>
      <c r="E148" s="23" t="n">
        <v>34605</v>
      </c>
      <c r="F148" s="23" t="n">
        <v>15485</v>
      </c>
      <c r="G148" s="23" t="inlineStr">
        <is>
          <t>C</t>
        </is>
      </c>
      <c r="H148" s="23" t="n">
        <v>2684</v>
      </c>
      <c r="I148" s="23" t="n">
        <v>638</v>
      </c>
      <c r="J148" s="23" t="inlineStr">
        <is>
          <t>2024-10-31</t>
        </is>
      </c>
      <c r="K148" s="23" t="n">
        <v>444</v>
      </c>
      <c r="L148" s="23" t="inlineStr">
        <is>
          <t>2025-09-30</t>
        </is>
      </c>
      <c r="M148" s="23" t="n">
        <v>110</v>
      </c>
      <c r="N148" s="23" t="n">
        <v>10.8</v>
      </c>
      <c r="O148" s="23" t="inlineStr">
        <is>
          <t>Aktif</t>
        </is>
      </c>
    </row>
    <row r="149">
      <c r="A149" s="23" t="inlineStr">
        <is>
          <t>TC-JVT79</t>
        </is>
      </c>
      <c r="B149" s="23" t="inlineStr">
        <is>
          <t>Boeing 737-800</t>
        </is>
      </c>
      <c r="C149" s="23" t="inlineStr">
        <is>
          <t>NARROW</t>
        </is>
      </c>
      <c r="D149" s="23" t="inlineStr">
        <is>
          <t>2023-01-19</t>
        </is>
      </c>
      <c r="E149" s="23" t="n">
        <v>21252</v>
      </c>
      <c r="F149" s="23" t="n">
        <v>9919</v>
      </c>
      <c r="G149" s="23" t="inlineStr">
        <is>
          <t>B</t>
        </is>
      </c>
      <c r="H149" s="23" t="n">
        <v>1453</v>
      </c>
      <c r="I149" s="23" t="n">
        <v>685</v>
      </c>
      <c r="J149" s="23" t="inlineStr">
        <is>
          <t>2025-03-01</t>
        </is>
      </c>
      <c r="K149" s="23" t="n">
        <v>323</v>
      </c>
      <c r="L149" s="23" t="inlineStr">
        <is>
          <t>2022-08-18</t>
        </is>
      </c>
      <c r="M149" s="23" t="n">
        <v>1249</v>
      </c>
      <c r="N149" s="23" t="n">
        <v>11.7</v>
      </c>
      <c r="O149" s="23" t="inlineStr">
        <is>
          <t>Aktif</t>
        </is>
      </c>
    </row>
    <row r="150">
      <c r="A150" s="23" t="inlineStr">
        <is>
          <t>TC-JVU98</t>
        </is>
      </c>
      <c r="B150" s="23" t="inlineStr">
        <is>
          <t>Boeing 737-800</t>
        </is>
      </c>
      <c r="C150" s="23" t="inlineStr">
        <is>
          <t>NARROW</t>
        </is>
      </c>
      <c r="D150" s="23" t="inlineStr">
        <is>
          <t>2024-01-19</t>
        </is>
      </c>
      <c r="E150" s="23" t="n">
        <v>31091</v>
      </c>
      <c r="F150" s="23" t="n">
        <v>14112</v>
      </c>
      <c r="G150" s="23" t="inlineStr">
        <is>
          <t>C</t>
        </is>
      </c>
      <c r="H150" s="23" t="n">
        <v>3388</v>
      </c>
      <c r="I150" s="23" t="n">
        <v>2818</v>
      </c>
      <c r="J150" s="23" t="inlineStr">
        <is>
          <t>2024-10-20</t>
        </is>
      </c>
      <c r="K150" s="23" t="n">
        <v>455</v>
      </c>
      <c r="L150" s="23" t="inlineStr">
        <is>
          <t>2023-08-09</t>
        </is>
      </c>
      <c r="M150" s="23" t="n">
        <v>893</v>
      </c>
      <c r="N150" s="23" t="n">
        <v>13.8</v>
      </c>
      <c r="O150" s="23" t="inlineStr">
        <is>
          <t>Aktif</t>
        </is>
      </c>
    </row>
    <row r="151">
      <c r="A151" s="23" t="inlineStr">
        <is>
          <t>TC-JVV19</t>
        </is>
      </c>
      <c r="B151" s="23" t="inlineStr">
        <is>
          <t>Boeing 737-800</t>
        </is>
      </c>
      <c r="C151" s="23" t="inlineStr">
        <is>
          <t>NARROW</t>
        </is>
      </c>
      <c r="D151" s="23" t="inlineStr">
        <is>
          <t>2012-01-22</t>
        </is>
      </c>
      <c r="E151" s="23" t="n">
        <v>28621</v>
      </c>
      <c r="F151" s="23" t="n">
        <v>12853</v>
      </c>
      <c r="G151" s="23" t="inlineStr">
        <is>
          <t>C</t>
        </is>
      </c>
      <c r="H151" s="23" t="n">
        <v>1810</v>
      </c>
      <c r="I151" s="23" t="n">
        <v>427</v>
      </c>
      <c r="J151" s="23" t="inlineStr">
        <is>
          <t>2025-08-15</t>
        </is>
      </c>
      <c r="K151" s="23" t="n">
        <v>156</v>
      </c>
      <c r="L151" s="23" t="inlineStr">
        <is>
          <t>2019-08-18</t>
        </is>
      </c>
      <c r="M151" s="23" t="n">
        <v>2345</v>
      </c>
      <c r="N151" s="23" t="n">
        <v>11.4</v>
      </c>
      <c r="O151" s="23" t="inlineStr">
        <is>
          <t>Bakımda</t>
        </is>
      </c>
    </row>
    <row r="152">
      <c r="A152" s="23" t="inlineStr">
        <is>
          <t>TC-JVW14</t>
        </is>
      </c>
      <c r="B152" s="23" t="inlineStr">
        <is>
          <t>Boeing 737-800</t>
        </is>
      </c>
      <c r="C152" s="23" t="inlineStr">
        <is>
          <t>NARROW</t>
        </is>
      </c>
      <c r="D152" s="23" t="inlineStr">
        <is>
          <t>2012-01-22</t>
        </is>
      </c>
      <c r="E152" s="23" t="n">
        <v>10272</v>
      </c>
      <c r="F152" s="23" t="n">
        <v>6284</v>
      </c>
      <c r="G152" s="23" t="inlineStr">
        <is>
          <t>C</t>
        </is>
      </c>
      <c r="H152" s="23" t="n">
        <v>3500</v>
      </c>
      <c r="I152" s="23" t="n">
        <v>1783</v>
      </c>
      <c r="J152" s="23" t="inlineStr">
        <is>
          <t>2024-12-12</t>
        </is>
      </c>
      <c r="K152" s="23" t="n">
        <v>402</v>
      </c>
      <c r="L152" s="23" t="inlineStr">
        <is>
          <t>2022-01-11</t>
        </is>
      </c>
      <c r="M152" s="23" t="n">
        <v>1468</v>
      </c>
      <c r="N152" s="23" t="n">
        <v>10.8</v>
      </c>
      <c r="O152" s="23" t="inlineStr">
        <is>
          <t>Bakımda</t>
        </is>
      </c>
    </row>
    <row r="153">
      <c r="A153" s="23" t="inlineStr">
        <is>
          <t>TC-JVX57</t>
        </is>
      </c>
      <c r="B153" s="23" t="inlineStr">
        <is>
          <t>Boeing 737-800</t>
        </is>
      </c>
      <c r="C153" s="23" t="inlineStr">
        <is>
          <t>NARROW</t>
        </is>
      </c>
      <c r="D153" s="23" t="inlineStr">
        <is>
          <t>2023-01-19</t>
        </is>
      </c>
      <c r="E153" s="23" t="n">
        <v>26380</v>
      </c>
      <c r="F153" s="23" t="n">
        <v>11047</v>
      </c>
      <c r="G153" s="23" t="inlineStr">
        <is>
          <t>C</t>
        </is>
      </c>
      <c r="H153" s="23" t="n">
        <v>1627</v>
      </c>
      <c r="I153" s="23" t="n">
        <v>2468</v>
      </c>
      <c r="J153" s="23" t="inlineStr">
        <is>
          <t>2024-12-29</t>
        </is>
      </c>
      <c r="K153" s="23" t="n">
        <v>385</v>
      </c>
      <c r="L153" s="23" t="inlineStr">
        <is>
          <t>2022-10-31</t>
        </is>
      </c>
      <c r="M153" s="23" t="n">
        <v>1175</v>
      </c>
      <c r="N153" s="23" t="n">
        <v>11.2</v>
      </c>
      <c r="O153" s="23" t="inlineStr">
        <is>
          <t>Aktif</t>
        </is>
      </c>
    </row>
    <row r="154">
      <c r="A154" s="23" t="inlineStr">
        <is>
          <t>TC-JVY24</t>
        </is>
      </c>
      <c r="B154" s="23" t="inlineStr">
        <is>
          <t>Boeing 737-800</t>
        </is>
      </c>
      <c r="C154" s="23" t="inlineStr">
        <is>
          <t>NARROW</t>
        </is>
      </c>
      <c r="D154" s="23" t="inlineStr">
        <is>
          <t>2017-01-20</t>
        </is>
      </c>
      <c r="E154" s="23" t="n">
        <v>3698</v>
      </c>
      <c r="F154" s="23" t="n">
        <v>1244</v>
      </c>
      <c r="G154" s="23" t="inlineStr">
        <is>
          <t>C</t>
        </is>
      </c>
      <c r="H154" s="23" t="n">
        <v>3670</v>
      </c>
      <c r="I154" s="23" t="n">
        <v>2600</v>
      </c>
      <c r="J154" s="23" t="inlineStr">
        <is>
          <t>2025-09-10</t>
        </is>
      </c>
      <c r="K154" s="23" t="n">
        <v>130</v>
      </c>
      <c r="L154" s="23" t="inlineStr">
        <is>
          <t>2023-11-14</t>
        </is>
      </c>
      <c r="M154" s="23" t="n">
        <v>796</v>
      </c>
      <c r="N154" s="23" t="n">
        <v>11.6</v>
      </c>
      <c r="O154" s="23" t="inlineStr">
        <is>
          <t>Aktif</t>
        </is>
      </c>
    </row>
    <row r="155">
      <c r="A155" s="23" t="inlineStr">
        <is>
          <t>TC-JVZ88</t>
        </is>
      </c>
      <c r="B155" s="23" t="inlineStr">
        <is>
          <t>Boeing 737-800</t>
        </is>
      </c>
      <c r="C155" s="23" t="inlineStr">
        <is>
          <t>NARROW</t>
        </is>
      </c>
      <c r="D155" s="23" t="inlineStr">
        <is>
          <t>2017-01-20</t>
        </is>
      </c>
      <c r="E155" s="23" t="n">
        <v>20715</v>
      </c>
      <c r="F155" s="23" t="n">
        <v>7172</v>
      </c>
      <c r="G155" s="23" t="inlineStr">
        <is>
          <t>A</t>
        </is>
      </c>
      <c r="H155" s="23" t="n">
        <v>175</v>
      </c>
      <c r="I155" s="23" t="n">
        <v>99</v>
      </c>
      <c r="J155" s="23" t="inlineStr">
        <is>
          <t>2025-10-25</t>
        </is>
      </c>
      <c r="K155" s="23" t="n">
        <v>85</v>
      </c>
      <c r="L155" s="23" t="inlineStr">
        <is>
          <t>2022-12-06</t>
        </is>
      </c>
      <c r="M155" s="23" t="n">
        <v>1139</v>
      </c>
      <c r="N155" s="23" t="n">
        <v>13.2</v>
      </c>
      <c r="O155" s="23" t="inlineStr">
        <is>
          <t>Bakımda</t>
        </is>
      </c>
    </row>
    <row r="156">
      <c r="A156" s="23" t="inlineStr">
        <is>
          <t>TC-JYB54</t>
        </is>
      </c>
      <c r="B156" s="23" t="inlineStr">
        <is>
          <t>Boeing 737-900ER</t>
        </is>
      </c>
      <c r="C156" s="23" t="inlineStr">
        <is>
          <t>NARROW</t>
        </is>
      </c>
      <c r="D156" s="23" t="inlineStr">
        <is>
          <t>2020-01-20</t>
        </is>
      </c>
      <c r="E156" s="23" t="n">
        <v>20615</v>
      </c>
      <c r="F156" s="23" t="n">
        <v>6458</v>
      </c>
      <c r="G156" s="23" t="inlineStr">
        <is>
          <t>A</t>
        </is>
      </c>
      <c r="H156" s="23" t="n">
        <v>331</v>
      </c>
      <c r="I156" s="23" t="n">
        <v>94</v>
      </c>
      <c r="J156" s="23" t="inlineStr">
        <is>
          <t>2025-03-04</t>
        </is>
      </c>
      <c r="K156" s="23" t="n">
        <v>320</v>
      </c>
      <c r="L156" s="23" t="inlineStr">
        <is>
          <t>2021-09-05</t>
        </is>
      </c>
      <c r="M156" s="23" t="n">
        <v>1596</v>
      </c>
      <c r="N156" s="23" t="n">
        <v>6.7</v>
      </c>
      <c r="O156" s="23" t="inlineStr">
        <is>
          <t>Aktif</t>
        </is>
      </c>
    </row>
    <row r="157">
      <c r="A157" s="23" t="inlineStr">
        <is>
          <t>TC-JYC85</t>
        </is>
      </c>
      <c r="B157" s="23" t="inlineStr">
        <is>
          <t>Boeing 737-900ER</t>
        </is>
      </c>
      <c r="C157" s="23" t="inlineStr">
        <is>
          <t>NARROW</t>
        </is>
      </c>
      <c r="D157" s="23" t="inlineStr">
        <is>
          <t>2015-01-21</t>
        </is>
      </c>
      <c r="E157" s="23" t="n">
        <v>12105</v>
      </c>
      <c r="F157" s="23" t="n">
        <v>6570</v>
      </c>
      <c r="G157" s="23" t="inlineStr">
        <is>
          <t>C</t>
        </is>
      </c>
      <c r="H157" s="23" t="n">
        <v>5457</v>
      </c>
      <c r="I157" s="23" t="n">
        <v>1682</v>
      </c>
      <c r="J157" s="23" t="inlineStr">
        <is>
          <t>2024-06-10</t>
        </is>
      </c>
      <c r="K157" s="23" t="n">
        <v>587</v>
      </c>
      <c r="L157" s="23" t="inlineStr">
        <is>
          <t>2026-01-11</t>
        </is>
      </c>
      <c r="M157" s="23" t="n">
        <v>7</v>
      </c>
      <c r="N157" s="23" t="n">
        <v>6.6</v>
      </c>
      <c r="O157" s="23" t="inlineStr">
        <is>
          <t>Aktif</t>
        </is>
      </c>
    </row>
    <row r="158">
      <c r="A158" s="23" t="inlineStr">
        <is>
          <t>TC-JYD93</t>
        </is>
      </c>
      <c r="B158" s="23" t="inlineStr">
        <is>
          <t>Boeing 737-900ER</t>
        </is>
      </c>
      <c r="C158" s="23" t="inlineStr">
        <is>
          <t>NARROW</t>
        </is>
      </c>
      <c r="D158" s="23" t="inlineStr">
        <is>
          <t>2018-01-20</t>
        </is>
      </c>
      <c r="E158" s="23" t="n">
        <v>15815</v>
      </c>
      <c r="F158" s="23" t="n">
        <v>5212</v>
      </c>
      <c r="G158" s="23" t="inlineStr">
        <is>
          <t>C</t>
        </is>
      </c>
      <c r="H158" s="23" t="n">
        <v>748</v>
      </c>
      <c r="I158" s="23" t="n">
        <v>2339</v>
      </c>
      <c r="J158" s="23" t="inlineStr">
        <is>
          <t>2024-06-29</t>
        </is>
      </c>
      <c r="K158" s="23" t="n">
        <v>568</v>
      </c>
      <c r="L158" s="23" t="inlineStr">
        <is>
          <t>2023-08-08</t>
        </is>
      </c>
      <c r="M158" s="23" t="n">
        <v>894</v>
      </c>
      <c r="N158" s="23" t="n">
        <v>13.7</v>
      </c>
      <c r="O158" s="23" t="inlineStr">
        <is>
          <t>Bakımda</t>
        </is>
      </c>
    </row>
    <row r="159">
      <c r="A159" s="23" t="inlineStr">
        <is>
          <t>TC-JYE41</t>
        </is>
      </c>
      <c r="B159" s="23" t="inlineStr">
        <is>
          <t>Boeing 737-900ER</t>
        </is>
      </c>
      <c r="C159" s="23" t="inlineStr">
        <is>
          <t>NARROW</t>
        </is>
      </c>
      <c r="D159" s="23" t="inlineStr">
        <is>
          <t>2023-01-19</t>
        </is>
      </c>
      <c r="E159" s="23" t="n">
        <v>28613</v>
      </c>
      <c r="F159" s="23" t="n">
        <v>13658</v>
      </c>
      <c r="G159" s="23" t="inlineStr">
        <is>
          <t>C</t>
        </is>
      </c>
      <c r="H159" s="23" t="n">
        <v>990</v>
      </c>
      <c r="I159" s="23" t="n">
        <v>947</v>
      </c>
      <c r="J159" s="23" t="inlineStr">
        <is>
          <t>2024-10-15</t>
        </is>
      </c>
      <c r="K159" s="23" t="n">
        <v>460</v>
      </c>
      <c r="L159" s="23" t="inlineStr">
        <is>
          <t>2022-09-18</t>
        </is>
      </c>
      <c r="M159" s="23" t="n">
        <v>1218</v>
      </c>
      <c r="N159" s="23" t="n">
        <v>9.699999999999999</v>
      </c>
      <c r="O159" s="23" t="inlineStr">
        <is>
          <t>Aktif</t>
        </is>
      </c>
    </row>
    <row r="160">
      <c r="A160" s="23" t="inlineStr">
        <is>
          <t>TC-JYF87</t>
        </is>
      </c>
      <c r="B160" s="23" t="inlineStr">
        <is>
          <t>Boeing 737-900ER</t>
        </is>
      </c>
      <c r="C160" s="23" t="inlineStr">
        <is>
          <t>NARROW</t>
        </is>
      </c>
      <c r="D160" s="23" t="inlineStr">
        <is>
          <t>2013-01-21</t>
        </is>
      </c>
      <c r="E160" s="23" t="n">
        <v>11415</v>
      </c>
      <c r="F160" s="23" t="n">
        <v>5371</v>
      </c>
      <c r="G160" s="23" t="inlineStr">
        <is>
          <t>B</t>
        </is>
      </c>
      <c r="H160" s="23" t="n">
        <v>1603</v>
      </c>
      <c r="I160" s="23" t="n">
        <v>787</v>
      </c>
      <c r="J160" s="23" t="inlineStr">
        <is>
          <t>2024-11-26</t>
        </is>
      </c>
      <c r="K160" s="23" t="n">
        <v>418</v>
      </c>
      <c r="L160" s="23" t="inlineStr">
        <is>
          <t>2024-10-16</t>
        </is>
      </c>
      <c r="M160" s="23" t="n">
        <v>459</v>
      </c>
      <c r="N160" s="23" t="n">
        <v>10.1</v>
      </c>
      <c r="O160" s="23" t="inlineStr">
        <is>
          <t>Aktif</t>
        </is>
      </c>
    </row>
    <row r="161">
      <c r="A161" s="23" t="inlineStr">
        <is>
          <t>TC-JYG50</t>
        </is>
      </c>
      <c r="B161" s="23" t="inlineStr">
        <is>
          <t>Boeing 737-900ER</t>
        </is>
      </c>
      <c r="C161" s="23" t="inlineStr">
        <is>
          <t>NARROW</t>
        </is>
      </c>
      <c r="D161" s="23" t="inlineStr">
        <is>
          <t>2020-01-20</t>
        </is>
      </c>
      <c r="E161" s="23" t="n">
        <v>17842</v>
      </c>
      <c r="F161" s="23" t="n">
        <v>7333</v>
      </c>
      <c r="G161" s="23" t="inlineStr">
        <is>
          <t>B</t>
        </is>
      </c>
      <c r="H161" s="23" t="n">
        <v>607</v>
      </c>
      <c r="I161" s="23" t="n">
        <v>368</v>
      </c>
      <c r="J161" s="23" t="inlineStr">
        <is>
          <t>2025-10-01</t>
        </is>
      </c>
      <c r="K161" s="23" t="n">
        <v>109</v>
      </c>
      <c r="L161" s="23" t="inlineStr">
        <is>
          <t>2025-11-05</t>
        </is>
      </c>
      <c r="M161" s="23" t="n">
        <v>74</v>
      </c>
      <c r="N161" s="23" t="n">
        <v>13.6</v>
      </c>
      <c r="O161" s="23" t="inlineStr">
        <is>
          <t>Bakımda</t>
        </is>
      </c>
    </row>
    <row r="162">
      <c r="A162" s="23" t="inlineStr">
        <is>
          <t>TC-JYH41</t>
        </is>
      </c>
      <c r="B162" s="23" t="inlineStr">
        <is>
          <t>Boeing 737-900ER</t>
        </is>
      </c>
      <c r="C162" s="23" t="inlineStr">
        <is>
          <t>NARROW</t>
        </is>
      </c>
      <c r="D162" s="23" t="inlineStr">
        <is>
          <t>2015-01-21</t>
        </is>
      </c>
      <c r="E162" s="23" t="n">
        <v>12466</v>
      </c>
      <c r="F162" s="23" t="n">
        <v>3986</v>
      </c>
      <c r="G162" s="23" t="inlineStr">
        <is>
          <t>C</t>
        </is>
      </c>
      <c r="H162" s="23" t="n">
        <v>3061</v>
      </c>
      <c r="I162" s="23" t="n">
        <v>1077</v>
      </c>
      <c r="J162" s="23" t="inlineStr">
        <is>
          <t>2025-07-29</t>
        </is>
      </c>
      <c r="K162" s="23" t="n">
        <v>173</v>
      </c>
      <c r="L162" s="23" t="inlineStr">
        <is>
          <t>2022-09-10</t>
        </is>
      </c>
      <c r="M162" s="23" t="n">
        <v>1226</v>
      </c>
      <c r="N162" s="23" t="n">
        <v>9.699999999999999</v>
      </c>
      <c r="O162" s="23" t="inlineStr">
        <is>
          <t>Aktif</t>
        </is>
      </c>
    </row>
    <row r="163">
      <c r="A163" s="23" t="inlineStr">
        <is>
          <t>TC-JYI73</t>
        </is>
      </c>
      <c r="B163" s="23" t="inlineStr">
        <is>
          <t>Boeing 737-900ER</t>
        </is>
      </c>
      <c r="C163" s="23" t="inlineStr">
        <is>
          <t>NARROW</t>
        </is>
      </c>
      <c r="D163" s="23" t="inlineStr">
        <is>
          <t>2018-01-20</t>
        </is>
      </c>
      <c r="E163" s="23" t="n">
        <v>3518</v>
      </c>
      <c r="F163" s="23" t="n">
        <v>2093</v>
      </c>
      <c r="G163" s="23" t="inlineStr">
        <is>
          <t>C</t>
        </is>
      </c>
      <c r="H163" s="23" t="n">
        <v>4245</v>
      </c>
      <c r="I163" s="23" t="n">
        <v>1286</v>
      </c>
      <c r="J163" s="23" t="inlineStr">
        <is>
          <t>2025-06-02</t>
        </is>
      </c>
      <c r="K163" s="23" t="n">
        <v>230</v>
      </c>
      <c r="L163" s="23" t="inlineStr">
        <is>
          <t>2021-10-21</t>
        </is>
      </c>
      <c r="M163" s="23" t="n">
        <v>1550</v>
      </c>
      <c r="N163" s="23" t="n">
        <v>6.4</v>
      </c>
      <c r="O163" s="23" t="inlineStr">
        <is>
          <t>Aktif</t>
        </is>
      </c>
    </row>
    <row r="164">
      <c r="A164" s="23" t="inlineStr">
        <is>
          <t>TC-JYJ73</t>
        </is>
      </c>
      <c r="B164" s="23" t="inlineStr">
        <is>
          <t>Boeing 737-900ER</t>
        </is>
      </c>
      <c r="C164" s="23" t="inlineStr">
        <is>
          <t>NARROW</t>
        </is>
      </c>
      <c r="D164" s="23" t="inlineStr">
        <is>
          <t>2024-01-19</t>
        </is>
      </c>
      <c r="E164" s="23" t="n">
        <v>32840</v>
      </c>
      <c r="F164" s="23" t="n">
        <v>15853</v>
      </c>
      <c r="G164" s="23" t="inlineStr">
        <is>
          <t>A</t>
        </is>
      </c>
      <c r="H164" s="23" t="n">
        <v>491</v>
      </c>
      <c r="I164" s="23" t="n">
        <v>98</v>
      </c>
      <c r="J164" s="23" t="inlineStr">
        <is>
          <t>2025-04-13</t>
        </is>
      </c>
      <c r="K164" s="23" t="n">
        <v>280</v>
      </c>
      <c r="L164" s="23" t="inlineStr">
        <is>
          <t>2020-10-18</t>
        </is>
      </c>
      <c r="M164" s="23" t="n">
        <v>1918</v>
      </c>
      <c r="N164" s="23" t="n">
        <v>12.1</v>
      </c>
      <c r="O164" s="23" t="inlineStr">
        <is>
          <t>Aktif</t>
        </is>
      </c>
    </row>
    <row r="165">
      <c r="A165" s="23" t="inlineStr">
        <is>
          <t>TC-JYK15</t>
        </is>
      </c>
      <c r="B165" s="23" t="inlineStr">
        <is>
          <t>Boeing 737-900ER</t>
        </is>
      </c>
      <c r="C165" s="23" t="inlineStr">
        <is>
          <t>NARROW</t>
        </is>
      </c>
      <c r="D165" s="23" t="inlineStr">
        <is>
          <t>2016-01-21</t>
        </is>
      </c>
      <c r="E165" s="23" t="n">
        <v>28252</v>
      </c>
      <c r="F165" s="23" t="n">
        <v>17631</v>
      </c>
      <c r="G165" s="23" t="inlineStr">
        <is>
          <t>A</t>
        </is>
      </c>
      <c r="H165" s="23" t="n">
        <v>421</v>
      </c>
      <c r="I165" s="23" t="n">
        <v>313</v>
      </c>
      <c r="J165" s="23" t="inlineStr">
        <is>
          <t>2025-03-19</t>
        </is>
      </c>
      <c r="K165" s="23" t="n">
        <v>305</v>
      </c>
      <c r="L165" s="23" t="inlineStr">
        <is>
          <t>2025-10-12</t>
        </is>
      </c>
      <c r="M165" s="23" t="n">
        <v>98</v>
      </c>
      <c r="N165" s="23" t="n">
        <v>10</v>
      </c>
      <c r="O165" s="23" t="inlineStr">
        <is>
          <t>Aktif</t>
        </is>
      </c>
    </row>
    <row r="166">
      <c r="A166" s="23" t="inlineStr">
        <is>
          <t>TC-JYL89</t>
        </is>
      </c>
      <c r="B166" s="23" t="inlineStr">
        <is>
          <t>Boeing 737-900ER</t>
        </is>
      </c>
      <c r="C166" s="23" t="inlineStr">
        <is>
          <t>NARROW</t>
        </is>
      </c>
      <c r="D166" s="23" t="inlineStr">
        <is>
          <t>2023-01-19</t>
        </is>
      </c>
      <c r="E166" s="23" t="n">
        <v>9786</v>
      </c>
      <c r="F166" s="23" t="n">
        <v>5568</v>
      </c>
      <c r="G166" s="23" t="inlineStr">
        <is>
          <t>B</t>
        </is>
      </c>
      <c r="H166" s="23" t="n">
        <v>864</v>
      </c>
      <c r="I166" s="23" t="n">
        <v>774</v>
      </c>
      <c r="J166" s="23" t="inlineStr">
        <is>
          <t>2024-06-16</t>
        </is>
      </c>
      <c r="K166" s="23" t="n">
        <v>581</v>
      </c>
      <c r="L166" s="23" t="inlineStr">
        <is>
          <t>2023-12-14</t>
        </is>
      </c>
      <c r="M166" s="23" t="n">
        <v>766</v>
      </c>
      <c r="N166" s="23" t="n">
        <v>7.6</v>
      </c>
      <c r="O166" s="23" t="inlineStr">
        <is>
          <t>Bakımda</t>
        </is>
      </c>
    </row>
    <row r="167">
      <c r="A167" s="23" t="inlineStr">
        <is>
          <t>TC-JYM74</t>
        </is>
      </c>
      <c r="B167" s="23" t="inlineStr">
        <is>
          <t>Boeing 737-900ER</t>
        </is>
      </c>
      <c r="C167" s="23" t="inlineStr">
        <is>
          <t>NARROW</t>
        </is>
      </c>
      <c r="D167" s="23" t="inlineStr">
        <is>
          <t>2022-01-19</t>
        </is>
      </c>
      <c r="E167" s="23" t="n">
        <v>4638</v>
      </c>
      <c r="F167" s="23" t="n">
        <v>2915</v>
      </c>
      <c r="G167" s="23" t="inlineStr">
        <is>
          <t>C</t>
        </is>
      </c>
      <c r="H167" s="23" t="n">
        <v>3228</v>
      </c>
      <c r="I167" s="23" t="n">
        <v>2240</v>
      </c>
      <c r="J167" s="23" t="inlineStr">
        <is>
          <t>2024-07-26</t>
        </is>
      </c>
      <c r="K167" s="23" t="n">
        <v>541</v>
      </c>
      <c r="L167" s="23" t="inlineStr">
        <is>
          <t>2022-12-12</t>
        </is>
      </c>
      <c r="M167" s="23" t="n">
        <v>1133</v>
      </c>
      <c r="N167" s="23" t="n">
        <v>10.9</v>
      </c>
      <c r="O167" s="23" t="inlineStr">
        <is>
          <t>Aktif</t>
        </is>
      </c>
    </row>
    <row r="168">
      <c r="A168" s="23" t="inlineStr">
        <is>
          <t>TC-JYN51</t>
        </is>
      </c>
      <c r="B168" s="23" t="inlineStr">
        <is>
          <t>Boeing 737-900ER</t>
        </is>
      </c>
      <c r="C168" s="23" t="inlineStr">
        <is>
          <t>NARROW</t>
        </is>
      </c>
      <c r="D168" s="23" t="inlineStr">
        <is>
          <t>2015-01-21</t>
        </is>
      </c>
      <c r="E168" s="23" t="n">
        <v>22875</v>
      </c>
      <c r="F168" s="23" t="n">
        <v>12534</v>
      </c>
      <c r="G168" s="23" t="inlineStr">
        <is>
          <t>C</t>
        </is>
      </c>
      <c r="H168" s="23" t="n">
        <v>2951</v>
      </c>
      <c r="I168" s="23" t="n">
        <v>2731</v>
      </c>
      <c r="J168" s="23" t="inlineStr">
        <is>
          <t>2025-01-29</t>
        </is>
      </c>
      <c r="K168" s="23" t="n">
        <v>354</v>
      </c>
      <c r="L168" s="23" t="inlineStr">
        <is>
          <t>2021-09-11</t>
        </is>
      </c>
      <c r="M168" s="23" t="n">
        <v>1590</v>
      </c>
      <c r="N168" s="23" t="n">
        <v>10.3</v>
      </c>
      <c r="O168" s="23" t="inlineStr">
        <is>
          <t>Aktif</t>
        </is>
      </c>
    </row>
    <row r="169">
      <c r="A169" s="23" t="inlineStr">
        <is>
          <t>TC-JYO70</t>
        </is>
      </c>
      <c r="B169" s="23" t="inlineStr">
        <is>
          <t>Boeing 737-900ER</t>
        </is>
      </c>
      <c r="C169" s="23" t="inlineStr">
        <is>
          <t>NARROW</t>
        </is>
      </c>
      <c r="D169" s="23" t="inlineStr">
        <is>
          <t>2014-01-21</t>
        </is>
      </c>
      <c r="E169" s="23" t="n">
        <v>3090</v>
      </c>
      <c r="F169" s="23" t="n">
        <v>1381</v>
      </c>
      <c r="G169" s="23" t="inlineStr">
        <is>
          <t>A</t>
        </is>
      </c>
      <c r="H169" s="23" t="n">
        <v>476</v>
      </c>
      <c r="I169" s="23" t="n">
        <v>328</v>
      </c>
      <c r="J169" s="23" t="inlineStr">
        <is>
          <t>2025-02-27</t>
        </is>
      </c>
      <c r="K169" s="23" t="n">
        <v>325</v>
      </c>
      <c r="L169" s="23" t="inlineStr">
        <is>
          <t>2019-07-28</t>
        </is>
      </c>
      <c r="M169" s="23" t="n">
        <v>2366</v>
      </c>
      <c r="N169" s="23" t="n">
        <v>11</v>
      </c>
      <c r="O169" s="23" t="inlineStr">
        <is>
          <t>Bakımda</t>
        </is>
      </c>
    </row>
    <row r="170">
      <c r="A170" s="23" t="inlineStr">
        <is>
          <t>TC-JYP43</t>
        </is>
      </c>
      <c r="B170" s="23" t="inlineStr">
        <is>
          <t>Boeing 737-900ER</t>
        </is>
      </c>
      <c r="C170" s="23" t="inlineStr">
        <is>
          <t>NARROW</t>
        </is>
      </c>
      <c r="D170" s="23" t="inlineStr">
        <is>
          <t>2015-01-21</t>
        </is>
      </c>
      <c r="E170" s="23" t="n">
        <v>16912</v>
      </c>
      <c r="F170" s="23" t="n">
        <v>5746</v>
      </c>
      <c r="G170" s="23" t="inlineStr">
        <is>
          <t>B</t>
        </is>
      </c>
      <c r="H170" s="23" t="n">
        <v>449</v>
      </c>
      <c r="I170" s="23" t="n">
        <v>1153</v>
      </c>
      <c r="J170" s="23" t="inlineStr">
        <is>
          <t>2024-12-15</t>
        </is>
      </c>
      <c r="K170" s="23" t="n">
        <v>399</v>
      </c>
      <c r="L170" s="23" t="inlineStr">
        <is>
          <t>2024-07-28</t>
        </is>
      </c>
      <c r="M170" s="23" t="n">
        <v>539</v>
      </c>
      <c r="N170" s="23" t="n">
        <v>7.9</v>
      </c>
      <c r="O170" s="23" t="inlineStr">
        <is>
          <t>Aktif</t>
        </is>
      </c>
    </row>
    <row r="171">
      <c r="A171" s="23" t="inlineStr">
        <is>
          <t>TC-LCA40</t>
        </is>
      </c>
      <c r="B171" s="23" t="inlineStr">
        <is>
          <t>Boeing 737 MAX 8</t>
        </is>
      </c>
      <c r="C171" s="23" t="inlineStr">
        <is>
          <t>NARROW</t>
        </is>
      </c>
      <c r="D171" s="23" t="inlineStr">
        <is>
          <t>2015-01-21</t>
        </is>
      </c>
      <c r="E171" s="23" t="n">
        <v>15505</v>
      </c>
      <c r="F171" s="23" t="n">
        <v>9485</v>
      </c>
      <c r="G171" s="23" t="inlineStr">
        <is>
          <t>A</t>
        </is>
      </c>
      <c r="H171" s="23" t="n">
        <v>507</v>
      </c>
      <c r="I171" s="23" t="n">
        <v>336</v>
      </c>
      <c r="J171" s="23" t="inlineStr">
        <is>
          <t>2025-11-20</t>
        </is>
      </c>
      <c r="K171" s="23" t="n">
        <v>59</v>
      </c>
      <c r="L171" s="23" t="inlineStr">
        <is>
          <t>2025-01-07</t>
        </is>
      </c>
      <c r="M171" s="23" t="n">
        <v>376</v>
      </c>
      <c r="N171" s="23" t="n">
        <v>9.199999999999999</v>
      </c>
      <c r="O171" s="23" t="inlineStr">
        <is>
          <t>Aktif</t>
        </is>
      </c>
    </row>
    <row r="172">
      <c r="A172" s="23" t="inlineStr">
        <is>
          <t>TC-LCB34</t>
        </is>
      </c>
      <c r="B172" s="23" t="inlineStr">
        <is>
          <t>Boeing 737 MAX 8</t>
        </is>
      </c>
      <c r="C172" s="23" t="inlineStr">
        <is>
          <t>NARROW</t>
        </is>
      </c>
      <c r="D172" s="23" t="inlineStr">
        <is>
          <t>2018-01-20</t>
        </is>
      </c>
      <c r="E172" s="23" t="n">
        <v>3241</v>
      </c>
      <c r="F172" s="23" t="n">
        <v>1360</v>
      </c>
      <c r="G172" s="23" t="inlineStr">
        <is>
          <t>A</t>
        </is>
      </c>
      <c r="H172" s="23" t="n">
        <v>472</v>
      </c>
      <c r="I172" s="23" t="n">
        <v>134</v>
      </c>
      <c r="J172" s="23" t="inlineStr">
        <is>
          <t>2024-11-14</t>
        </is>
      </c>
      <c r="K172" s="23" t="n">
        <v>430</v>
      </c>
      <c r="L172" s="23" t="inlineStr">
        <is>
          <t>2021-08-16</t>
        </is>
      </c>
      <c r="M172" s="23" t="n">
        <v>1616</v>
      </c>
      <c r="N172" s="23" t="n">
        <v>13.4</v>
      </c>
      <c r="O172" s="23" t="inlineStr">
        <is>
          <t>Aktif</t>
        </is>
      </c>
    </row>
    <row r="173">
      <c r="A173" s="23" t="inlineStr">
        <is>
          <t>TC-LCB79</t>
        </is>
      </c>
      <c r="B173" s="23" t="inlineStr">
        <is>
          <t>Boeing 737 MAX 8</t>
        </is>
      </c>
      <c r="C173" s="23" t="inlineStr">
        <is>
          <t>NARROW</t>
        </is>
      </c>
      <c r="D173" s="23" t="inlineStr">
        <is>
          <t>2012-01-22</t>
        </is>
      </c>
      <c r="E173" s="23" t="n">
        <v>16238</v>
      </c>
      <c r="F173" s="23" t="n">
        <v>5396</v>
      </c>
      <c r="G173" s="23" t="inlineStr">
        <is>
          <t>A</t>
        </is>
      </c>
      <c r="H173" s="23" t="n">
        <v>193</v>
      </c>
      <c r="I173" s="23" t="n">
        <v>287</v>
      </c>
      <c r="J173" s="23" t="inlineStr">
        <is>
          <t>2025-03-18</t>
        </is>
      </c>
      <c r="K173" s="23" t="n">
        <v>306</v>
      </c>
      <c r="L173" s="23" t="inlineStr">
        <is>
          <t>2024-08-24</t>
        </is>
      </c>
      <c r="M173" s="23" t="n">
        <v>512</v>
      </c>
      <c r="N173" s="23" t="n">
        <v>8.6</v>
      </c>
      <c r="O173" s="23" t="inlineStr">
        <is>
          <t>Aktif</t>
        </is>
      </c>
    </row>
    <row r="174">
      <c r="A174" s="23" t="inlineStr">
        <is>
          <t>TC-LCC27</t>
        </is>
      </c>
      <c r="B174" s="23" t="inlineStr">
        <is>
          <t>Boeing 737 MAX 8</t>
        </is>
      </c>
      <c r="C174" s="23" t="inlineStr">
        <is>
          <t>NARROW</t>
        </is>
      </c>
      <c r="D174" s="23" t="inlineStr">
        <is>
          <t>2014-01-21</t>
        </is>
      </c>
      <c r="E174" s="23" t="n">
        <v>15588</v>
      </c>
      <c r="F174" s="23" t="n">
        <v>5945</v>
      </c>
      <c r="G174" s="23" t="inlineStr">
        <is>
          <t>B</t>
        </is>
      </c>
      <c r="H174" s="23" t="n">
        <v>1176</v>
      </c>
      <c r="I174" s="23" t="n">
        <v>851</v>
      </c>
      <c r="J174" s="23" t="inlineStr">
        <is>
          <t>2025-02-21</t>
        </is>
      </c>
      <c r="K174" s="23" t="n">
        <v>331</v>
      </c>
      <c r="L174" s="23" t="inlineStr">
        <is>
          <t>2024-09-23</t>
        </is>
      </c>
      <c r="M174" s="23" t="n">
        <v>482</v>
      </c>
      <c r="N174" s="23" t="n">
        <v>13.3</v>
      </c>
      <c r="O174" s="23" t="inlineStr">
        <is>
          <t>Aktif</t>
        </is>
      </c>
    </row>
    <row r="175">
      <c r="A175" s="23" t="inlineStr">
        <is>
          <t>TC-LCC40</t>
        </is>
      </c>
      <c r="B175" s="23" t="inlineStr">
        <is>
          <t>Boeing 737 MAX 8</t>
        </is>
      </c>
      <c r="C175" s="23" t="inlineStr">
        <is>
          <t>NARROW</t>
        </is>
      </c>
      <c r="D175" s="23" t="inlineStr">
        <is>
          <t>2014-01-21</t>
        </is>
      </c>
      <c r="E175" s="23" t="n">
        <v>21776</v>
      </c>
      <c r="F175" s="23" t="n">
        <v>6695</v>
      </c>
      <c r="G175" s="23" t="inlineStr">
        <is>
          <t>C</t>
        </is>
      </c>
      <c r="H175" s="23" t="n">
        <v>2310</v>
      </c>
      <c r="I175" s="23" t="n">
        <v>1993</v>
      </c>
      <c r="J175" s="23" t="inlineStr">
        <is>
          <t>2025-03-07</t>
        </is>
      </c>
      <c r="K175" s="23" t="n">
        <v>317</v>
      </c>
      <c r="L175" s="23" t="inlineStr">
        <is>
          <t>2024-01-04</t>
        </is>
      </c>
      <c r="M175" s="23" t="n">
        <v>745</v>
      </c>
      <c r="N175" s="23" t="n">
        <v>10.5</v>
      </c>
      <c r="O175" s="23" t="inlineStr">
        <is>
          <t>Aktif</t>
        </is>
      </c>
    </row>
    <row r="176">
      <c r="A176" s="23" t="inlineStr">
        <is>
          <t>TC-LCD79</t>
        </is>
      </c>
      <c r="B176" s="23" t="inlineStr">
        <is>
          <t>Boeing 737 MAX 8</t>
        </is>
      </c>
      <c r="C176" s="23" t="inlineStr">
        <is>
          <t>NARROW</t>
        </is>
      </c>
      <c r="D176" s="23" t="inlineStr">
        <is>
          <t>2011-01-22</t>
        </is>
      </c>
      <c r="E176" s="23" t="n">
        <v>25218</v>
      </c>
      <c r="F176" s="23" t="n">
        <v>8843</v>
      </c>
      <c r="G176" s="23" t="inlineStr">
        <is>
          <t>C</t>
        </is>
      </c>
      <c r="H176" s="23" t="n">
        <v>2665</v>
      </c>
      <c r="I176" s="23" t="n">
        <v>2798</v>
      </c>
      <c r="J176" s="23" t="inlineStr">
        <is>
          <t>2024-08-31</t>
        </is>
      </c>
      <c r="K176" s="23" t="n">
        <v>505</v>
      </c>
      <c r="L176" s="23" t="inlineStr">
        <is>
          <t>2024-11-16</t>
        </is>
      </c>
      <c r="M176" s="23" t="n">
        <v>428</v>
      </c>
      <c r="N176" s="23" t="n">
        <v>8.199999999999999</v>
      </c>
      <c r="O176" s="23" t="inlineStr">
        <is>
          <t>Aktif</t>
        </is>
      </c>
    </row>
    <row r="177">
      <c r="A177" s="23" t="inlineStr">
        <is>
          <t>TC-LCD90</t>
        </is>
      </c>
      <c r="B177" s="23" t="inlineStr">
        <is>
          <t>Boeing 737 MAX 8</t>
        </is>
      </c>
      <c r="C177" s="23" t="inlineStr">
        <is>
          <t>NARROW</t>
        </is>
      </c>
      <c r="D177" s="23" t="inlineStr">
        <is>
          <t>2024-01-19</t>
        </is>
      </c>
      <c r="E177" s="23" t="n">
        <v>29997</v>
      </c>
      <c r="F177" s="23" t="n">
        <v>11485</v>
      </c>
      <c r="G177" s="23" t="inlineStr">
        <is>
          <t>B</t>
        </is>
      </c>
      <c r="H177" s="23" t="n">
        <v>1417</v>
      </c>
      <c r="I177" s="23" t="n">
        <v>860</v>
      </c>
      <c r="J177" s="23" t="inlineStr">
        <is>
          <t>2024-07-20</t>
        </is>
      </c>
      <c r="K177" s="23" t="n">
        <v>547</v>
      </c>
      <c r="L177" s="23" t="inlineStr">
        <is>
          <t>2023-07-25</t>
        </is>
      </c>
      <c r="M177" s="23" t="n">
        <v>908</v>
      </c>
      <c r="N177" s="23" t="n">
        <v>9.300000000000001</v>
      </c>
      <c r="O177" s="23" t="inlineStr">
        <is>
          <t>Aktif</t>
        </is>
      </c>
    </row>
    <row r="178">
      <c r="A178" s="23" t="inlineStr">
        <is>
          <t>TC-LCE38</t>
        </is>
      </c>
      <c r="B178" s="23" t="inlineStr">
        <is>
          <t>Boeing 737 MAX 8</t>
        </is>
      </c>
      <c r="C178" s="23" t="inlineStr">
        <is>
          <t>NARROW</t>
        </is>
      </c>
      <c r="D178" s="23" t="inlineStr">
        <is>
          <t>2013-01-21</t>
        </is>
      </c>
      <c r="E178" s="23" t="n">
        <v>21504</v>
      </c>
      <c r="F178" s="23" t="n">
        <v>7068</v>
      </c>
      <c r="G178" s="23" t="inlineStr">
        <is>
          <t>A</t>
        </is>
      </c>
      <c r="H178" s="23" t="n">
        <v>550</v>
      </c>
      <c r="I178" s="23" t="n">
        <v>192</v>
      </c>
      <c r="J178" s="23" t="inlineStr">
        <is>
          <t>2024-09-04</t>
        </is>
      </c>
      <c r="K178" s="23" t="n">
        <v>501</v>
      </c>
      <c r="L178" s="23" t="inlineStr">
        <is>
          <t>2023-08-29</t>
        </is>
      </c>
      <c r="M178" s="23" t="n">
        <v>873</v>
      </c>
      <c r="N178" s="23" t="n">
        <v>13.5</v>
      </c>
      <c r="O178" s="23" t="inlineStr">
        <is>
          <t>Aktif</t>
        </is>
      </c>
    </row>
    <row r="179">
      <c r="A179" s="23" t="inlineStr">
        <is>
          <t>TC-LCE48</t>
        </is>
      </c>
      <c r="B179" s="23" t="inlineStr">
        <is>
          <t>Boeing 737 MAX 8</t>
        </is>
      </c>
      <c r="C179" s="23" t="inlineStr">
        <is>
          <t>NARROW</t>
        </is>
      </c>
      <c r="D179" s="23" t="inlineStr">
        <is>
          <t>2016-01-21</t>
        </is>
      </c>
      <c r="E179" s="23" t="n">
        <v>26671</v>
      </c>
      <c r="F179" s="23" t="n">
        <v>14279</v>
      </c>
      <c r="G179" s="23" t="inlineStr">
        <is>
          <t>B</t>
        </is>
      </c>
      <c r="H179" s="23" t="n">
        <v>593</v>
      </c>
      <c r="I179" s="23" t="n">
        <v>541</v>
      </c>
      <c r="J179" s="23" t="inlineStr">
        <is>
          <t>2025-03-07</t>
        </is>
      </c>
      <c r="K179" s="23" t="n">
        <v>317</v>
      </c>
      <c r="L179" s="23" t="inlineStr">
        <is>
          <t>2019-12-15</t>
        </is>
      </c>
      <c r="M179" s="23" t="n">
        <v>2226</v>
      </c>
      <c r="N179" s="23" t="n">
        <v>12.4</v>
      </c>
      <c r="O179" s="23" t="inlineStr">
        <is>
          <t>Aktif</t>
        </is>
      </c>
    </row>
    <row r="180">
      <c r="A180" s="23" t="inlineStr">
        <is>
          <t>TC-LCF46</t>
        </is>
      </c>
      <c r="B180" s="23" t="inlineStr">
        <is>
          <t>Boeing 737 MAX 8</t>
        </is>
      </c>
      <c r="C180" s="23" t="inlineStr">
        <is>
          <t>NARROW</t>
        </is>
      </c>
      <c r="D180" s="23" t="inlineStr">
        <is>
          <t>2016-01-21</t>
        </is>
      </c>
      <c r="E180" s="23" t="n">
        <v>9987</v>
      </c>
      <c r="F180" s="23" t="n">
        <v>3773</v>
      </c>
      <c r="G180" s="23" t="inlineStr">
        <is>
          <t>B</t>
        </is>
      </c>
      <c r="H180" s="23" t="n">
        <v>1934</v>
      </c>
      <c r="I180" s="23" t="n">
        <v>888</v>
      </c>
      <c r="J180" s="23" t="inlineStr">
        <is>
          <t>2025-01-20</t>
        </is>
      </c>
      <c r="K180" s="23" t="n">
        <v>363</v>
      </c>
      <c r="L180" s="23" t="inlineStr">
        <is>
          <t>2019-12-14</t>
        </is>
      </c>
      <c r="M180" s="23" t="n">
        <v>2227</v>
      </c>
      <c r="N180" s="23" t="n">
        <v>8.300000000000001</v>
      </c>
      <c r="O180" s="23" t="inlineStr">
        <is>
          <t>Aktif</t>
        </is>
      </c>
    </row>
    <row r="181">
      <c r="A181" s="23" t="inlineStr">
        <is>
          <t>TC-LCF81</t>
        </is>
      </c>
      <c r="B181" s="23" t="inlineStr">
        <is>
          <t>Boeing 737 MAX 8</t>
        </is>
      </c>
      <c r="C181" s="23" t="inlineStr">
        <is>
          <t>NARROW</t>
        </is>
      </c>
      <c r="D181" s="23" t="inlineStr">
        <is>
          <t>2016-01-21</t>
        </is>
      </c>
      <c r="E181" s="23" t="n">
        <v>29045</v>
      </c>
      <c r="F181" s="23" t="n">
        <v>8454</v>
      </c>
      <c r="G181" s="23" t="inlineStr">
        <is>
          <t>C</t>
        </is>
      </c>
      <c r="H181" s="23" t="n">
        <v>1598</v>
      </c>
      <c r="I181" s="23" t="n">
        <v>1890</v>
      </c>
      <c r="J181" s="23" t="inlineStr">
        <is>
          <t>2025-05-05</t>
        </is>
      </c>
      <c r="K181" s="23" t="n">
        <v>258</v>
      </c>
      <c r="L181" s="23" t="inlineStr">
        <is>
          <t>2023-11-28</t>
        </is>
      </c>
      <c r="M181" s="23" t="n">
        <v>782</v>
      </c>
      <c r="N181" s="23" t="n">
        <v>8.6</v>
      </c>
      <c r="O181" s="23" t="inlineStr">
        <is>
          <t>Aktif</t>
        </is>
      </c>
    </row>
    <row r="182">
      <c r="A182" s="23" t="inlineStr">
        <is>
          <t>TC-LCG20</t>
        </is>
      </c>
      <c r="B182" s="23" t="inlineStr">
        <is>
          <t>Boeing 737 MAX 8</t>
        </is>
      </c>
      <c r="C182" s="23" t="inlineStr">
        <is>
          <t>NARROW</t>
        </is>
      </c>
      <c r="D182" s="23" t="inlineStr">
        <is>
          <t>2014-01-21</t>
        </is>
      </c>
      <c r="E182" s="23" t="n">
        <v>24699</v>
      </c>
      <c r="F182" s="23" t="n">
        <v>7377</v>
      </c>
      <c r="G182" s="23" t="inlineStr">
        <is>
          <t>B</t>
        </is>
      </c>
      <c r="H182" s="23" t="n">
        <v>1630</v>
      </c>
      <c r="I182" s="23" t="n">
        <v>1061</v>
      </c>
      <c r="J182" s="23" t="inlineStr">
        <is>
          <t>2025-06-03</t>
        </is>
      </c>
      <c r="K182" s="23" t="n">
        <v>229</v>
      </c>
      <c r="L182" s="23" t="inlineStr">
        <is>
          <t>2024-09-03</t>
        </is>
      </c>
      <c r="M182" s="23" t="n">
        <v>502</v>
      </c>
      <c r="N182" s="23" t="n">
        <v>8.199999999999999</v>
      </c>
      <c r="O182" s="23" t="inlineStr">
        <is>
          <t>Aktif</t>
        </is>
      </c>
    </row>
    <row r="183">
      <c r="A183" s="23" t="inlineStr">
        <is>
          <t>TC-LCG67</t>
        </is>
      </c>
      <c r="B183" s="23" t="inlineStr">
        <is>
          <t>Boeing 737 MAX 8</t>
        </is>
      </c>
      <c r="C183" s="23" t="inlineStr">
        <is>
          <t>NARROW</t>
        </is>
      </c>
      <c r="D183" s="23" t="inlineStr">
        <is>
          <t>2013-01-21</t>
        </is>
      </c>
      <c r="E183" s="23" t="n">
        <v>26318</v>
      </c>
      <c r="F183" s="23" t="n">
        <v>15619</v>
      </c>
      <c r="G183" s="23" t="inlineStr">
        <is>
          <t>A</t>
        </is>
      </c>
      <c r="H183" s="23" t="n">
        <v>102</v>
      </c>
      <c r="I183" s="23" t="n">
        <v>167</v>
      </c>
      <c r="J183" s="23" t="inlineStr">
        <is>
          <t>2024-12-18</t>
        </is>
      </c>
      <c r="K183" s="23" t="n">
        <v>396</v>
      </c>
      <c r="L183" s="23" t="inlineStr">
        <is>
          <t>2020-08-18</t>
        </is>
      </c>
      <c r="M183" s="23" t="n">
        <v>1979</v>
      </c>
      <c r="N183" s="23" t="n">
        <v>10.8</v>
      </c>
      <c r="O183" s="23" t="inlineStr">
        <is>
          <t>Aktif</t>
        </is>
      </c>
    </row>
    <row r="184">
      <c r="A184" s="23" t="inlineStr">
        <is>
          <t>TC-LCH27</t>
        </is>
      </c>
      <c r="B184" s="23" t="inlineStr">
        <is>
          <t>Boeing 737 MAX 8</t>
        </is>
      </c>
      <c r="C184" s="23" t="inlineStr">
        <is>
          <t>NARROW</t>
        </is>
      </c>
      <c r="D184" s="23" t="inlineStr">
        <is>
          <t>2015-01-21</t>
        </is>
      </c>
      <c r="E184" s="23" t="n">
        <v>9158</v>
      </c>
      <c r="F184" s="23" t="n">
        <v>3352</v>
      </c>
      <c r="G184" s="23" t="inlineStr">
        <is>
          <t>A</t>
        </is>
      </c>
      <c r="H184" s="23" t="n">
        <v>298</v>
      </c>
      <c r="I184" s="23" t="n">
        <v>55</v>
      </c>
      <c r="J184" s="23" t="inlineStr">
        <is>
          <t>2024-07-14</t>
        </is>
      </c>
      <c r="K184" s="23" t="n">
        <v>553</v>
      </c>
      <c r="L184" s="23" t="inlineStr">
        <is>
          <t>2024-08-08</t>
        </is>
      </c>
      <c r="M184" s="23" t="n">
        <v>528</v>
      </c>
      <c r="N184" s="23" t="n">
        <v>7.9</v>
      </c>
      <c r="O184" s="23" t="inlineStr">
        <is>
          <t>Aktif</t>
        </is>
      </c>
    </row>
    <row r="185">
      <c r="A185" s="23" t="inlineStr">
        <is>
          <t>TC-LCH34</t>
        </is>
      </c>
      <c r="B185" s="23" t="inlineStr">
        <is>
          <t>Boeing 737 MAX 8</t>
        </is>
      </c>
      <c r="C185" s="23" t="inlineStr">
        <is>
          <t>NARROW</t>
        </is>
      </c>
      <c r="D185" s="23" t="inlineStr">
        <is>
          <t>2011-01-22</t>
        </is>
      </c>
      <c r="E185" s="23" t="n">
        <v>16222</v>
      </c>
      <c r="F185" s="23" t="n">
        <v>6597</v>
      </c>
      <c r="G185" s="23" t="inlineStr">
        <is>
          <t>B</t>
        </is>
      </c>
      <c r="H185" s="23" t="n">
        <v>720</v>
      </c>
      <c r="I185" s="23" t="n">
        <v>111</v>
      </c>
      <c r="J185" s="23" t="inlineStr">
        <is>
          <t>2025-06-06</t>
        </is>
      </c>
      <c r="K185" s="23" t="n">
        <v>226</v>
      </c>
      <c r="L185" s="23" t="inlineStr">
        <is>
          <t>2024-12-19</t>
        </is>
      </c>
      <c r="M185" s="23" t="n">
        <v>395</v>
      </c>
      <c r="N185" s="23" t="n">
        <v>12</v>
      </c>
      <c r="O185" s="23" t="inlineStr">
        <is>
          <t>Bakımda</t>
        </is>
      </c>
    </row>
    <row r="186">
      <c r="A186" s="23" t="inlineStr">
        <is>
          <t>TC-LCI41</t>
        </is>
      </c>
      <c r="B186" s="23" t="inlineStr">
        <is>
          <t>Boeing 737 MAX 8</t>
        </is>
      </c>
      <c r="C186" s="23" t="inlineStr">
        <is>
          <t>NARROW</t>
        </is>
      </c>
      <c r="D186" s="23" t="inlineStr">
        <is>
          <t>2021-01-19</t>
        </is>
      </c>
      <c r="E186" s="23" t="n">
        <v>15402</v>
      </c>
      <c r="F186" s="23" t="n">
        <v>6716</v>
      </c>
      <c r="G186" s="23" t="inlineStr">
        <is>
          <t>C</t>
        </is>
      </c>
      <c r="H186" s="23" t="n">
        <v>3134</v>
      </c>
      <c r="I186" s="23" t="n">
        <v>3476</v>
      </c>
      <c r="J186" s="23" t="inlineStr">
        <is>
          <t>2025-03-25</t>
        </is>
      </c>
      <c r="K186" s="23" t="n">
        <v>299</v>
      </c>
      <c r="L186" s="23" t="inlineStr">
        <is>
          <t>2022-09-22</t>
        </is>
      </c>
      <c r="M186" s="23" t="n">
        <v>1214</v>
      </c>
      <c r="N186" s="23" t="n">
        <v>10.3</v>
      </c>
      <c r="O186" s="23" t="inlineStr">
        <is>
          <t>Aktif</t>
        </is>
      </c>
    </row>
    <row r="187">
      <c r="A187" s="23" t="inlineStr">
        <is>
          <t>TC-LCI62</t>
        </is>
      </c>
      <c r="B187" s="23" t="inlineStr">
        <is>
          <t>Boeing 737 MAX 8</t>
        </is>
      </c>
      <c r="C187" s="23" t="inlineStr">
        <is>
          <t>NARROW</t>
        </is>
      </c>
      <c r="D187" s="23" t="inlineStr">
        <is>
          <t>2023-01-19</t>
        </is>
      </c>
      <c r="E187" s="23" t="n">
        <v>23646</v>
      </c>
      <c r="F187" s="23" t="n">
        <v>8057</v>
      </c>
      <c r="G187" s="23" t="inlineStr">
        <is>
          <t>C</t>
        </is>
      </c>
      <c r="H187" s="23" t="n">
        <v>1626</v>
      </c>
      <c r="I187" s="23" t="n">
        <v>321</v>
      </c>
      <c r="J187" s="23" t="inlineStr">
        <is>
          <t>2024-06-24</t>
        </is>
      </c>
      <c r="K187" s="23" t="n">
        <v>573</v>
      </c>
      <c r="L187" s="23" t="inlineStr">
        <is>
          <t>2024-10-06</t>
        </is>
      </c>
      <c r="M187" s="23" t="n">
        <v>469</v>
      </c>
      <c r="N187" s="23" t="n">
        <v>11.2</v>
      </c>
      <c r="O187" s="23" t="inlineStr">
        <is>
          <t>Bakımda</t>
        </is>
      </c>
    </row>
    <row r="188">
      <c r="A188" s="23" t="inlineStr">
        <is>
          <t>TC-LCJ71</t>
        </is>
      </c>
      <c r="B188" s="23" t="inlineStr">
        <is>
          <t>Boeing 737 MAX 8</t>
        </is>
      </c>
      <c r="C188" s="23" t="inlineStr">
        <is>
          <t>NARROW</t>
        </is>
      </c>
      <c r="D188" s="23" t="inlineStr">
        <is>
          <t>2020-01-20</t>
        </is>
      </c>
      <c r="E188" s="23" t="n">
        <v>15071</v>
      </c>
      <c r="F188" s="23" t="n">
        <v>5003</v>
      </c>
      <c r="G188" s="23" t="inlineStr">
        <is>
          <t>B</t>
        </is>
      </c>
      <c r="H188" s="23" t="n">
        <v>684</v>
      </c>
      <c r="I188" s="23" t="n">
        <v>201</v>
      </c>
      <c r="J188" s="23" t="inlineStr">
        <is>
          <t>2025-10-09</t>
        </is>
      </c>
      <c r="K188" s="23" t="n">
        <v>101</v>
      </c>
      <c r="L188" s="23" t="inlineStr">
        <is>
          <t>2020-08-26</t>
        </is>
      </c>
      <c r="M188" s="23" t="n">
        <v>1971</v>
      </c>
      <c r="N188" s="23" t="n">
        <v>7.9</v>
      </c>
      <c r="O188" s="23" t="inlineStr">
        <is>
          <t>Aktif</t>
        </is>
      </c>
    </row>
    <row r="189">
      <c r="A189" s="23" t="inlineStr">
        <is>
          <t>TC-LCK32</t>
        </is>
      </c>
      <c r="B189" s="23" t="inlineStr">
        <is>
          <t>Boeing 737 MAX 8</t>
        </is>
      </c>
      <c r="C189" s="23" t="inlineStr">
        <is>
          <t>NARROW</t>
        </is>
      </c>
      <c r="D189" s="23" t="inlineStr">
        <is>
          <t>2022-01-19</t>
        </is>
      </c>
      <c r="E189" s="23" t="n">
        <v>29386</v>
      </c>
      <c r="F189" s="23" t="n">
        <v>9001</v>
      </c>
      <c r="G189" s="23" t="inlineStr">
        <is>
          <t>A</t>
        </is>
      </c>
      <c r="H189" s="23" t="n">
        <v>456</v>
      </c>
      <c r="I189" s="23" t="n">
        <v>283</v>
      </c>
      <c r="J189" s="23" t="inlineStr">
        <is>
          <t>2025-07-02</t>
        </is>
      </c>
      <c r="K189" s="23" t="n">
        <v>200</v>
      </c>
      <c r="L189" s="23" t="inlineStr">
        <is>
          <t>2020-11-06</t>
        </is>
      </c>
      <c r="M189" s="23" t="n">
        <v>1899</v>
      </c>
      <c r="N189" s="23" t="n">
        <v>13</v>
      </c>
      <c r="O189" s="23" t="inlineStr">
        <is>
          <t>Aktif</t>
        </is>
      </c>
    </row>
    <row r="190">
      <c r="A190" s="23" t="inlineStr">
        <is>
          <t>TC-LCL48</t>
        </is>
      </c>
      <c r="B190" s="23" t="inlineStr">
        <is>
          <t>Boeing 737 MAX 8</t>
        </is>
      </c>
      <c r="C190" s="23" t="inlineStr">
        <is>
          <t>NARROW</t>
        </is>
      </c>
      <c r="D190" s="23" t="inlineStr">
        <is>
          <t>2019-01-20</t>
        </is>
      </c>
      <c r="E190" s="23" t="n">
        <v>9032</v>
      </c>
      <c r="F190" s="23" t="n">
        <v>2690</v>
      </c>
      <c r="G190" s="23" t="inlineStr">
        <is>
          <t>B</t>
        </is>
      </c>
      <c r="H190" s="23" t="n">
        <v>1030</v>
      </c>
      <c r="I190" s="23" t="n">
        <v>1192</v>
      </c>
      <c r="J190" s="23" t="inlineStr">
        <is>
          <t>2024-07-21</t>
        </is>
      </c>
      <c r="K190" s="23" t="n">
        <v>546</v>
      </c>
      <c r="L190" s="23" t="inlineStr">
        <is>
          <t>2022-12-16</t>
        </is>
      </c>
      <c r="M190" s="23" t="n">
        <v>1129</v>
      </c>
      <c r="N190" s="23" t="n">
        <v>12.8</v>
      </c>
      <c r="O190" s="23" t="inlineStr">
        <is>
          <t>Bakımda</t>
        </is>
      </c>
    </row>
    <row r="191">
      <c r="A191" s="23" t="inlineStr">
        <is>
          <t>TC-LCM44</t>
        </is>
      </c>
      <c r="B191" s="23" t="inlineStr">
        <is>
          <t>Boeing 737 MAX 8</t>
        </is>
      </c>
      <c r="C191" s="23" t="inlineStr">
        <is>
          <t>NARROW</t>
        </is>
      </c>
      <c r="D191" s="23" t="inlineStr">
        <is>
          <t>2019-01-20</t>
        </is>
      </c>
      <c r="E191" s="23" t="n">
        <v>14636</v>
      </c>
      <c r="F191" s="23" t="n">
        <v>4694</v>
      </c>
      <c r="G191" s="23" t="inlineStr">
        <is>
          <t>A</t>
        </is>
      </c>
      <c r="H191" s="23" t="n">
        <v>519</v>
      </c>
      <c r="I191" s="23" t="n">
        <v>361</v>
      </c>
      <c r="J191" s="23" t="inlineStr">
        <is>
          <t>2025-04-20</t>
        </is>
      </c>
      <c r="K191" s="23" t="n">
        <v>273</v>
      </c>
      <c r="L191" s="23" t="inlineStr">
        <is>
          <t>2020-12-03</t>
        </is>
      </c>
      <c r="M191" s="23" t="n">
        <v>1872</v>
      </c>
      <c r="N191" s="23" t="n">
        <v>6.1</v>
      </c>
      <c r="O191" s="23" t="inlineStr">
        <is>
          <t>Aktif</t>
        </is>
      </c>
    </row>
    <row r="192">
      <c r="A192" s="23" t="inlineStr">
        <is>
          <t>TC-LCN47</t>
        </is>
      </c>
      <c r="B192" s="23" t="inlineStr">
        <is>
          <t>Boeing 737 MAX 8</t>
        </is>
      </c>
      <c r="C192" s="23" t="inlineStr">
        <is>
          <t>NARROW</t>
        </is>
      </c>
      <c r="D192" s="23" t="inlineStr">
        <is>
          <t>2011-01-22</t>
        </is>
      </c>
      <c r="E192" s="23" t="n">
        <v>14659</v>
      </c>
      <c r="F192" s="23" t="n">
        <v>7919</v>
      </c>
      <c r="G192" s="23" t="inlineStr">
        <is>
          <t>C</t>
        </is>
      </c>
      <c r="H192" s="23" t="n">
        <v>3821</v>
      </c>
      <c r="I192" s="23" t="n">
        <v>2051</v>
      </c>
      <c r="J192" s="23" t="inlineStr">
        <is>
          <t>2024-07-30</t>
        </is>
      </c>
      <c r="K192" s="23" t="n">
        <v>537</v>
      </c>
      <c r="L192" s="23" t="inlineStr">
        <is>
          <t>2023-12-28</t>
        </is>
      </c>
      <c r="M192" s="23" t="n">
        <v>752</v>
      </c>
      <c r="N192" s="23" t="n">
        <v>9.199999999999999</v>
      </c>
      <c r="O192" s="23" t="inlineStr">
        <is>
          <t>Aktif</t>
        </is>
      </c>
    </row>
    <row r="193">
      <c r="A193" s="23" t="inlineStr">
        <is>
          <t>TC-LCO33</t>
        </is>
      </c>
      <c r="B193" s="23" t="inlineStr">
        <is>
          <t>Boeing 737 MAX 8</t>
        </is>
      </c>
      <c r="C193" s="23" t="inlineStr">
        <is>
          <t>NARROW</t>
        </is>
      </c>
      <c r="D193" s="23" t="inlineStr">
        <is>
          <t>2021-01-19</t>
        </is>
      </c>
      <c r="E193" s="23" t="n">
        <v>11215</v>
      </c>
      <c r="F193" s="23" t="n">
        <v>4568</v>
      </c>
      <c r="G193" s="23" t="inlineStr">
        <is>
          <t>A</t>
        </is>
      </c>
      <c r="H193" s="23" t="n">
        <v>317</v>
      </c>
      <c r="I193" s="23" t="n">
        <v>226</v>
      </c>
      <c r="J193" s="23" t="inlineStr">
        <is>
          <t>2025-05-12</t>
        </is>
      </c>
      <c r="K193" s="23" t="n">
        <v>251</v>
      </c>
      <c r="L193" s="23" t="inlineStr">
        <is>
          <t>2022-11-12</t>
        </is>
      </c>
      <c r="M193" s="23" t="n">
        <v>1163</v>
      </c>
      <c r="N193" s="23" t="n">
        <v>13.6</v>
      </c>
      <c r="O193" s="23" t="inlineStr">
        <is>
          <t>Aktif</t>
        </is>
      </c>
    </row>
    <row r="194">
      <c r="A194" s="23" t="inlineStr">
        <is>
          <t>TC-LCP84</t>
        </is>
      </c>
      <c r="B194" s="23" t="inlineStr">
        <is>
          <t>Boeing 737 MAX 8</t>
        </is>
      </c>
      <c r="C194" s="23" t="inlineStr">
        <is>
          <t>NARROW</t>
        </is>
      </c>
      <c r="D194" s="23" t="inlineStr">
        <is>
          <t>2019-01-20</t>
        </is>
      </c>
      <c r="E194" s="23" t="n">
        <v>2749</v>
      </c>
      <c r="F194" s="23" t="n">
        <v>1358</v>
      </c>
      <c r="G194" s="23" t="inlineStr">
        <is>
          <t>C</t>
        </is>
      </c>
      <c r="H194" s="23" t="n">
        <v>2435</v>
      </c>
      <c r="I194" s="23" t="n">
        <v>554</v>
      </c>
      <c r="J194" s="23" t="inlineStr">
        <is>
          <t>2025-09-09</t>
        </is>
      </c>
      <c r="K194" s="23" t="n">
        <v>131</v>
      </c>
      <c r="L194" s="23" t="inlineStr">
        <is>
          <t>2022-11-02</t>
        </is>
      </c>
      <c r="M194" s="23" t="n">
        <v>1173</v>
      </c>
      <c r="N194" s="23" t="n">
        <v>7.3</v>
      </c>
      <c r="O194" s="23" t="inlineStr">
        <is>
          <t>Aktif</t>
        </is>
      </c>
    </row>
    <row r="195">
      <c r="A195" s="23" t="inlineStr">
        <is>
          <t>TC-LCQ98</t>
        </is>
      </c>
      <c r="B195" s="23" t="inlineStr">
        <is>
          <t>Boeing 737 MAX 8</t>
        </is>
      </c>
      <c r="C195" s="23" t="inlineStr">
        <is>
          <t>NARROW</t>
        </is>
      </c>
      <c r="D195" s="23" t="inlineStr">
        <is>
          <t>2020-01-20</t>
        </is>
      </c>
      <c r="E195" s="23" t="n">
        <v>9694</v>
      </c>
      <c r="F195" s="23" t="n">
        <v>3490</v>
      </c>
      <c r="G195" s="23" t="inlineStr">
        <is>
          <t>B</t>
        </is>
      </c>
      <c r="H195" s="23" t="n">
        <v>1358</v>
      </c>
      <c r="I195" s="23" t="n">
        <v>532</v>
      </c>
      <c r="J195" s="23" t="inlineStr">
        <is>
          <t>2025-05-29</t>
        </is>
      </c>
      <c r="K195" s="23" t="n">
        <v>234</v>
      </c>
      <c r="L195" s="23" t="inlineStr">
        <is>
          <t>2024-09-18</t>
        </is>
      </c>
      <c r="M195" s="23" t="n">
        <v>487</v>
      </c>
      <c r="N195" s="23" t="n">
        <v>7.2</v>
      </c>
      <c r="O195" s="23" t="inlineStr">
        <is>
          <t>Aktif</t>
        </is>
      </c>
    </row>
    <row r="196">
      <c r="A196" s="23" t="inlineStr">
        <is>
          <t>TC-LCR63</t>
        </is>
      </c>
      <c r="B196" s="23" t="inlineStr">
        <is>
          <t>Boeing 737 MAX 8</t>
        </is>
      </c>
      <c r="C196" s="23" t="inlineStr">
        <is>
          <t>NARROW</t>
        </is>
      </c>
      <c r="D196" s="23" t="inlineStr">
        <is>
          <t>2012-01-22</t>
        </is>
      </c>
      <c r="E196" s="23" t="n">
        <v>32856</v>
      </c>
      <c r="F196" s="23" t="n">
        <v>10898</v>
      </c>
      <c r="G196" s="23" t="inlineStr">
        <is>
          <t>C</t>
        </is>
      </c>
      <c r="H196" s="23" t="n">
        <v>2289</v>
      </c>
      <c r="I196" s="23" t="n">
        <v>3420</v>
      </c>
      <c r="J196" s="23" t="inlineStr">
        <is>
          <t>2025-04-30</t>
        </is>
      </c>
      <c r="K196" s="23" t="n">
        <v>263</v>
      </c>
      <c r="L196" s="23" t="inlineStr">
        <is>
          <t>2020-08-20</t>
        </is>
      </c>
      <c r="M196" s="23" t="n">
        <v>1977</v>
      </c>
      <c r="N196" s="23" t="n">
        <v>13</v>
      </c>
      <c r="O196" s="23" t="inlineStr">
        <is>
          <t>Aktif</t>
        </is>
      </c>
    </row>
    <row r="197">
      <c r="A197" s="23" t="inlineStr">
        <is>
          <t>TC-LCS77</t>
        </is>
      </c>
      <c r="B197" s="23" t="inlineStr">
        <is>
          <t>Boeing 737 MAX 8</t>
        </is>
      </c>
      <c r="C197" s="23" t="inlineStr">
        <is>
          <t>NARROW</t>
        </is>
      </c>
      <c r="D197" s="23" t="inlineStr">
        <is>
          <t>2019-01-20</t>
        </is>
      </c>
      <c r="E197" s="23" t="n">
        <v>31278</v>
      </c>
      <c r="F197" s="23" t="n">
        <v>12235</v>
      </c>
      <c r="G197" s="23" t="inlineStr">
        <is>
          <t>A</t>
        </is>
      </c>
      <c r="H197" s="23" t="n">
        <v>164</v>
      </c>
      <c r="I197" s="23" t="n">
        <v>61</v>
      </c>
      <c r="J197" s="23" t="inlineStr">
        <is>
          <t>2024-06-27</t>
        </is>
      </c>
      <c r="K197" s="23" t="n">
        <v>570</v>
      </c>
      <c r="L197" s="23" t="inlineStr">
        <is>
          <t>2021-11-29</t>
        </is>
      </c>
      <c r="M197" s="23" t="n">
        <v>1511</v>
      </c>
      <c r="N197" s="23" t="n">
        <v>10.6</v>
      </c>
      <c r="O197" s="23" t="inlineStr">
        <is>
          <t>Aktif</t>
        </is>
      </c>
    </row>
    <row r="198">
      <c r="A198" s="23" t="inlineStr">
        <is>
          <t>TC-LCT31</t>
        </is>
      </c>
      <c r="B198" s="23" t="inlineStr">
        <is>
          <t>Boeing 737 MAX 8</t>
        </is>
      </c>
      <c r="C198" s="23" t="inlineStr">
        <is>
          <t>NARROW</t>
        </is>
      </c>
      <c r="D198" s="23" t="inlineStr">
        <is>
          <t>2017-01-20</t>
        </is>
      </c>
      <c r="E198" s="23" t="n">
        <v>23503</v>
      </c>
      <c r="F198" s="23" t="n">
        <v>7324</v>
      </c>
      <c r="G198" s="23" t="inlineStr">
        <is>
          <t>A</t>
        </is>
      </c>
      <c r="H198" s="23" t="n">
        <v>260</v>
      </c>
      <c r="I198" s="23" t="n">
        <v>328</v>
      </c>
      <c r="J198" s="23" t="inlineStr">
        <is>
          <t>2024-08-26</t>
        </is>
      </c>
      <c r="K198" s="23" t="n">
        <v>510</v>
      </c>
      <c r="L198" s="23" t="inlineStr">
        <is>
          <t>2025-09-10</t>
        </is>
      </c>
      <c r="M198" s="23" t="n">
        <v>130</v>
      </c>
      <c r="N198" s="23" t="n">
        <v>9.6</v>
      </c>
      <c r="O198" s="23" t="inlineStr">
        <is>
          <t>Aktif</t>
        </is>
      </c>
    </row>
    <row r="199">
      <c r="A199" s="23" t="inlineStr">
        <is>
          <t>TC-LCU68</t>
        </is>
      </c>
      <c r="B199" s="23" t="inlineStr">
        <is>
          <t>Boeing 737 MAX 8</t>
        </is>
      </c>
      <c r="C199" s="23" t="inlineStr">
        <is>
          <t>NARROW</t>
        </is>
      </c>
      <c r="D199" s="23" t="inlineStr">
        <is>
          <t>2017-01-20</t>
        </is>
      </c>
      <c r="E199" s="23" t="n">
        <v>10647</v>
      </c>
      <c r="F199" s="23" t="n">
        <v>4214</v>
      </c>
      <c r="G199" s="23" t="inlineStr">
        <is>
          <t>C</t>
        </is>
      </c>
      <c r="H199" s="23" t="n">
        <v>972</v>
      </c>
      <c r="I199" s="23" t="n">
        <v>2588</v>
      </c>
      <c r="J199" s="23" t="inlineStr">
        <is>
          <t>2024-09-22</t>
        </is>
      </c>
      <c r="K199" s="23" t="n">
        <v>483</v>
      </c>
      <c r="L199" s="23" t="inlineStr">
        <is>
          <t>2020-11-02</t>
        </is>
      </c>
      <c r="M199" s="23" t="n">
        <v>1903</v>
      </c>
      <c r="N199" s="23" t="n">
        <v>11.8</v>
      </c>
      <c r="O199" s="23" t="inlineStr">
        <is>
          <t>Bakımda</t>
        </is>
      </c>
    </row>
    <row r="200">
      <c r="A200" s="23" t="inlineStr">
        <is>
          <t>TC-LCV42</t>
        </is>
      </c>
      <c r="B200" s="23" t="inlineStr">
        <is>
          <t>Boeing 737 MAX 8</t>
        </is>
      </c>
      <c r="C200" s="23" t="inlineStr">
        <is>
          <t>NARROW</t>
        </is>
      </c>
      <c r="D200" s="23" t="inlineStr">
        <is>
          <t>2015-01-21</t>
        </is>
      </c>
      <c r="E200" s="23" t="n">
        <v>2197</v>
      </c>
      <c r="F200" s="23" t="n">
        <v>734</v>
      </c>
      <c r="G200" s="23" t="inlineStr">
        <is>
          <t>A</t>
        </is>
      </c>
      <c r="H200" s="23" t="n">
        <v>96</v>
      </c>
      <c r="I200" s="23" t="n">
        <v>246</v>
      </c>
      <c r="J200" s="23" t="inlineStr">
        <is>
          <t>2025-01-21</t>
        </is>
      </c>
      <c r="K200" s="23" t="n">
        <v>362</v>
      </c>
      <c r="L200" s="23" t="inlineStr">
        <is>
          <t>2021-01-03</t>
        </is>
      </c>
      <c r="M200" s="23" t="n">
        <v>1841</v>
      </c>
      <c r="N200" s="23" t="n">
        <v>10.3</v>
      </c>
      <c r="O200" s="23" t="inlineStr">
        <is>
          <t>Aktif</t>
        </is>
      </c>
    </row>
    <row r="201">
      <c r="A201" s="23" t="inlineStr">
        <is>
          <t>TC-LCW18</t>
        </is>
      </c>
      <c r="B201" s="23" t="inlineStr">
        <is>
          <t>Boeing 737 MAX 8</t>
        </is>
      </c>
      <c r="C201" s="23" t="inlineStr">
        <is>
          <t>NARROW</t>
        </is>
      </c>
      <c r="D201" s="23" t="inlineStr">
        <is>
          <t>2018-01-20</t>
        </is>
      </c>
      <c r="E201" s="23" t="n">
        <v>32937</v>
      </c>
      <c r="F201" s="23" t="n">
        <v>21066</v>
      </c>
      <c r="G201" s="23" t="inlineStr">
        <is>
          <t>A</t>
        </is>
      </c>
      <c r="H201" s="23" t="n">
        <v>188</v>
      </c>
      <c r="I201" s="23" t="n">
        <v>358</v>
      </c>
      <c r="J201" s="23" t="inlineStr">
        <is>
          <t>2024-11-04</t>
        </is>
      </c>
      <c r="K201" s="23" t="n">
        <v>440</v>
      </c>
      <c r="L201" s="23" t="inlineStr">
        <is>
          <t>2023-10-14</t>
        </is>
      </c>
      <c r="M201" s="23" t="n">
        <v>827</v>
      </c>
      <c r="N201" s="23" t="n">
        <v>9.6</v>
      </c>
      <c r="O201" s="23" t="inlineStr">
        <is>
          <t>Bakımda</t>
        </is>
      </c>
    </row>
    <row r="202">
      <c r="A202" s="23" t="inlineStr">
        <is>
          <t>TC-LCX58</t>
        </is>
      </c>
      <c r="B202" s="23" t="inlineStr">
        <is>
          <t>Boeing 737 MAX 8</t>
        </is>
      </c>
      <c r="C202" s="23" t="inlineStr">
        <is>
          <t>NARROW</t>
        </is>
      </c>
      <c r="D202" s="23" t="inlineStr">
        <is>
          <t>2014-01-21</t>
        </is>
      </c>
      <c r="E202" s="23" t="n">
        <v>7259</v>
      </c>
      <c r="F202" s="23" t="n">
        <v>2533</v>
      </c>
      <c r="G202" s="23" t="inlineStr">
        <is>
          <t>C</t>
        </is>
      </c>
      <c r="H202" s="23" t="n">
        <v>1589</v>
      </c>
      <c r="I202" s="23" t="n">
        <v>2976</v>
      </c>
      <c r="J202" s="23" t="inlineStr">
        <is>
          <t>2025-01-17</t>
        </is>
      </c>
      <c r="K202" s="23" t="n">
        <v>366</v>
      </c>
      <c r="L202" s="23" t="inlineStr">
        <is>
          <t>2025-12-04</t>
        </is>
      </c>
      <c r="M202" s="23" t="n">
        <v>45</v>
      </c>
      <c r="N202" s="23" t="n">
        <v>13.9</v>
      </c>
      <c r="O202" s="23" t="inlineStr">
        <is>
          <t>Bakımda</t>
        </is>
      </c>
    </row>
    <row r="203">
      <c r="A203" s="23" t="inlineStr">
        <is>
          <t>TC-LCY77</t>
        </is>
      </c>
      <c r="B203" s="23" t="inlineStr">
        <is>
          <t>Boeing 737 MAX 8</t>
        </is>
      </c>
      <c r="C203" s="23" t="inlineStr">
        <is>
          <t>NARROW</t>
        </is>
      </c>
      <c r="D203" s="23" t="inlineStr">
        <is>
          <t>2021-01-19</t>
        </is>
      </c>
      <c r="E203" s="23" t="n">
        <v>10345</v>
      </c>
      <c r="F203" s="23" t="n">
        <v>3499</v>
      </c>
      <c r="G203" s="23" t="inlineStr">
        <is>
          <t>A</t>
        </is>
      </c>
      <c r="H203" s="23" t="n">
        <v>73</v>
      </c>
      <c r="I203" s="23" t="n">
        <v>182</v>
      </c>
      <c r="J203" s="23" t="inlineStr">
        <is>
          <t>2024-09-21</t>
        </is>
      </c>
      <c r="K203" s="23" t="n">
        <v>484</v>
      </c>
      <c r="L203" s="23" t="inlineStr">
        <is>
          <t>2020-09-02</t>
        </is>
      </c>
      <c r="M203" s="23" t="n">
        <v>1964</v>
      </c>
      <c r="N203" s="23" t="n">
        <v>9.4</v>
      </c>
      <c r="O203" s="23" t="inlineStr">
        <is>
          <t>Bakımda</t>
        </is>
      </c>
    </row>
    <row r="204">
      <c r="A204" s="23" t="inlineStr">
        <is>
          <t>TC-LCZ39</t>
        </is>
      </c>
      <c r="B204" s="23" t="inlineStr">
        <is>
          <t>Boeing 737 MAX 8</t>
        </is>
      </c>
      <c r="C204" s="23" t="inlineStr">
        <is>
          <t>NARROW</t>
        </is>
      </c>
      <c r="D204" s="23" t="inlineStr">
        <is>
          <t>2022-01-19</t>
        </is>
      </c>
      <c r="E204" s="23" t="n">
        <v>18220</v>
      </c>
      <c r="F204" s="23" t="n">
        <v>7525</v>
      </c>
      <c r="G204" s="23" t="inlineStr">
        <is>
          <t>B</t>
        </is>
      </c>
      <c r="H204" s="23" t="n">
        <v>486</v>
      </c>
      <c r="I204" s="23" t="n">
        <v>311</v>
      </c>
      <c r="J204" s="23" t="inlineStr">
        <is>
          <t>2025-12-07</t>
        </is>
      </c>
      <c r="K204" s="23" t="n">
        <v>42</v>
      </c>
      <c r="L204" s="23" t="inlineStr">
        <is>
          <t>2019-08-04</t>
        </is>
      </c>
      <c r="M204" s="23" t="n">
        <v>2359</v>
      </c>
      <c r="N204" s="23" t="n">
        <v>9.4</v>
      </c>
      <c r="O204" s="23" t="inlineStr">
        <is>
          <t>Aktif</t>
        </is>
      </c>
    </row>
    <row r="205">
      <c r="A205" s="23" t="inlineStr">
        <is>
          <t>TC-LGB61</t>
        </is>
      </c>
      <c r="B205" s="23" t="inlineStr">
        <is>
          <t>Airbus A350-900</t>
        </is>
      </c>
      <c r="C205" s="23" t="inlineStr">
        <is>
          <t>WIDE</t>
        </is>
      </c>
      <c r="D205" s="23" t="inlineStr">
        <is>
          <t>2019-01-20</t>
        </is>
      </c>
      <c r="E205" s="23" t="n">
        <v>32262</v>
      </c>
      <c r="F205" s="23" t="n">
        <v>3730</v>
      </c>
      <c r="G205" s="23" t="inlineStr">
        <is>
          <t>B</t>
        </is>
      </c>
      <c r="H205" s="23" t="n">
        <v>740</v>
      </c>
      <c r="I205" s="23" t="n">
        <v>602</v>
      </c>
      <c r="J205" s="23" t="inlineStr">
        <is>
          <t>2024-12-21</t>
        </is>
      </c>
      <c r="K205" s="23" t="n">
        <v>393</v>
      </c>
      <c r="L205" s="23" t="inlineStr">
        <is>
          <t>2024-07-27</t>
        </is>
      </c>
      <c r="M205" s="23" t="n">
        <v>540</v>
      </c>
      <c r="N205" s="23" t="n">
        <v>13.4</v>
      </c>
      <c r="O205" s="23" t="inlineStr">
        <is>
          <t>Aktif</t>
        </is>
      </c>
    </row>
    <row r="206">
      <c r="A206" s="23" t="inlineStr">
        <is>
          <t>TC-LGC21</t>
        </is>
      </c>
      <c r="B206" s="23" t="inlineStr">
        <is>
          <t>Airbus A350-900</t>
        </is>
      </c>
      <c r="C206" s="23" t="inlineStr">
        <is>
          <t>WIDE</t>
        </is>
      </c>
      <c r="D206" s="23" t="inlineStr">
        <is>
          <t>2023-01-19</t>
        </is>
      </c>
      <c r="E206" s="23" t="n">
        <v>10594</v>
      </c>
      <c r="F206" s="23" t="n">
        <v>1938</v>
      </c>
      <c r="G206" s="23" t="inlineStr">
        <is>
          <t>C</t>
        </is>
      </c>
      <c r="H206" s="23" t="n">
        <v>3552</v>
      </c>
      <c r="I206" s="23" t="n">
        <v>832</v>
      </c>
      <c r="J206" s="23" t="inlineStr">
        <is>
          <t>2024-06-18</t>
        </is>
      </c>
      <c r="K206" s="23" t="n">
        <v>579</v>
      </c>
      <c r="L206" s="23" t="inlineStr">
        <is>
          <t>2025-08-21</t>
        </is>
      </c>
      <c r="M206" s="23" t="n">
        <v>150</v>
      </c>
      <c r="N206" s="23" t="n">
        <v>13.7</v>
      </c>
      <c r="O206" s="23" t="inlineStr">
        <is>
          <t>Aktif</t>
        </is>
      </c>
    </row>
    <row r="207">
      <c r="A207" s="23" t="inlineStr">
        <is>
          <t>TC-LGD95</t>
        </is>
      </c>
      <c r="B207" s="23" t="inlineStr">
        <is>
          <t>Airbus A350-900</t>
        </is>
      </c>
      <c r="C207" s="23" t="inlineStr">
        <is>
          <t>WIDE</t>
        </is>
      </c>
      <c r="D207" s="23" t="inlineStr">
        <is>
          <t>2011-01-22</t>
        </is>
      </c>
      <c r="E207" s="23" t="n">
        <v>13010</v>
      </c>
      <c r="F207" s="23" t="n">
        <v>1844</v>
      </c>
      <c r="G207" s="23" t="inlineStr">
        <is>
          <t>C</t>
        </is>
      </c>
      <c r="H207" s="23" t="n">
        <v>3964</v>
      </c>
      <c r="I207" s="23" t="n">
        <v>3253</v>
      </c>
      <c r="J207" s="23" t="inlineStr">
        <is>
          <t>2025-11-17</t>
        </is>
      </c>
      <c r="K207" s="23" t="n">
        <v>62</v>
      </c>
      <c r="L207" s="23" t="inlineStr">
        <is>
          <t>2023-08-19</t>
        </is>
      </c>
      <c r="M207" s="23" t="n">
        <v>883</v>
      </c>
      <c r="N207" s="23" t="n">
        <v>8.5</v>
      </c>
      <c r="O207" s="23" t="inlineStr">
        <is>
          <t>Aktif</t>
        </is>
      </c>
    </row>
    <row r="208">
      <c r="A208" s="23" t="inlineStr">
        <is>
          <t>TC-LGE83</t>
        </is>
      </c>
      <c r="B208" s="23" t="inlineStr">
        <is>
          <t>Airbus A350-900</t>
        </is>
      </c>
      <c r="C208" s="23" t="inlineStr">
        <is>
          <t>WIDE</t>
        </is>
      </c>
      <c r="D208" s="23" t="inlineStr">
        <is>
          <t>2014-01-21</t>
        </is>
      </c>
      <c r="E208" s="23" t="n">
        <v>38253</v>
      </c>
      <c r="F208" s="23" t="n">
        <v>6308</v>
      </c>
      <c r="G208" s="23" t="inlineStr">
        <is>
          <t>B</t>
        </is>
      </c>
      <c r="H208" s="23" t="n">
        <v>559</v>
      </c>
      <c r="I208" s="23" t="n">
        <v>301</v>
      </c>
      <c r="J208" s="23" t="inlineStr">
        <is>
          <t>2025-01-15</t>
        </is>
      </c>
      <c r="K208" s="23" t="n">
        <v>368</v>
      </c>
      <c r="L208" s="23" t="inlineStr">
        <is>
          <t>2019-08-31</t>
        </is>
      </c>
      <c r="M208" s="23" t="n">
        <v>2332</v>
      </c>
      <c r="N208" s="23" t="n">
        <v>8.9</v>
      </c>
      <c r="O208" s="23" t="inlineStr">
        <is>
          <t>Aktif</t>
        </is>
      </c>
    </row>
    <row r="209">
      <c r="A209" s="23" t="inlineStr">
        <is>
          <t>TC-LGF83</t>
        </is>
      </c>
      <c r="B209" s="23" t="inlineStr">
        <is>
          <t>Airbus A350-900</t>
        </is>
      </c>
      <c r="C209" s="23" t="inlineStr">
        <is>
          <t>WIDE</t>
        </is>
      </c>
      <c r="D209" s="23" t="inlineStr">
        <is>
          <t>2011-01-22</t>
        </is>
      </c>
      <c r="E209" s="23" t="n">
        <v>19821</v>
      </c>
      <c r="F209" s="23" t="n">
        <v>2193</v>
      </c>
      <c r="G209" s="23" t="inlineStr">
        <is>
          <t>C</t>
        </is>
      </c>
      <c r="H209" s="23" t="n">
        <v>5060</v>
      </c>
      <c r="I209" s="23" t="n">
        <v>407</v>
      </c>
      <c r="J209" s="23" t="inlineStr">
        <is>
          <t>2025-04-10</t>
        </is>
      </c>
      <c r="K209" s="23" t="n">
        <v>283</v>
      </c>
      <c r="L209" s="23" t="inlineStr">
        <is>
          <t>2025-12-03</t>
        </is>
      </c>
      <c r="M209" s="23" t="n">
        <v>46</v>
      </c>
      <c r="N209" s="23" t="n">
        <v>8.199999999999999</v>
      </c>
      <c r="O209" s="23" t="inlineStr">
        <is>
          <t>Aktif</t>
        </is>
      </c>
    </row>
    <row r="210">
      <c r="A210" s="23" t="inlineStr">
        <is>
          <t>TC-LGG53</t>
        </is>
      </c>
      <c r="B210" s="23" t="inlineStr">
        <is>
          <t>Airbus A350-900</t>
        </is>
      </c>
      <c r="C210" s="23" t="inlineStr">
        <is>
          <t>WIDE</t>
        </is>
      </c>
      <c r="D210" s="23" t="inlineStr">
        <is>
          <t>2011-01-22</t>
        </is>
      </c>
      <c r="E210" s="23" t="n">
        <v>28004</v>
      </c>
      <c r="F210" s="23" t="n">
        <v>5566</v>
      </c>
      <c r="G210" s="23" t="inlineStr">
        <is>
          <t>A</t>
        </is>
      </c>
      <c r="H210" s="23" t="n">
        <v>460</v>
      </c>
      <c r="I210" s="23" t="n">
        <v>65</v>
      </c>
      <c r="J210" s="23" t="inlineStr">
        <is>
          <t>2025-08-16</t>
        </is>
      </c>
      <c r="K210" s="23" t="n">
        <v>155</v>
      </c>
      <c r="L210" s="23" t="inlineStr">
        <is>
          <t>2020-08-10</t>
        </is>
      </c>
      <c r="M210" s="23" t="n">
        <v>1987</v>
      </c>
      <c r="N210" s="23" t="n">
        <v>13.8</v>
      </c>
      <c r="O210" s="23" t="inlineStr">
        <is>
          <t>Aktif</t>
        </is>
      </c>
    </row>
    <row r="211">
      <c r="A211" s="23" t="inlineStr">
        <is>
          <t>TC-LGH77</t>
        </is>
      </c>
      <c r="B211" s="23" t="inlineStr">
        <is>
          <t>Airbus A350-900</t>
        </is>
      </c>
      <c r="C211" s="23" t="inlineStr">
        <is>
          <t>WIDE</t>
        </is>
      </c>
      <c r="D211" s="23" t="inlineStr">
        <is>
          <t>2017-01-20</t>
        </is>
      </c>
      <c r="E211" s="23" t="n">
        <v>19098</v>
      </c>
      <c r="F211" s="23" t="n">
        <v>2775</v>
      </c>
      <c r="G211" s="23" t="inlineStr">
        <is>
          <t>B</t>
        </is>
      </c>
      <c r="H211" s="23" t="n">
        <v>422</v>
      </c>
      <c r="I211" s="23" t="n">
        <v>837</v>
      </c>
      <c r="J211" s="23" t="inlineStr">
        <is>
          <t>2025-02-23</t>
        </is>
      </c>
      <c r="K211" s="23" t="n">
        <v>329</v>
      </c>
      <c r="L211" s="23" t="inlineStr">
        <is>
          <t>2020-10-28</t>
        </is>
      </c>
      <c r="M211" s="23" t="n">
        <v>1908</v>
      </c>
      <c r="N211" s="23" t="n">
        <v>12.2</v>
      </c>
      <c r="O211" s="23" t="inlineStr">
        <is>
          <t>Aktif</t>
        </is>
      </c>
    </row>
    <row r="212">
      <c r="A212" s="23" t="inlineStr">
        <is>
          <t>TC-LGI16</t>
        </is>
      </c>
      <c r="B212" s="23" t="inlineStr">
        <is>
          <t>Airbus A350-900</t>
        </is>
      </c>
      <c r="C212" s="23" t="inlineStr">
        <is>
          <t>WIDE</t>
        </is>
      </c>
      <c r="D212" s="23" t="inlineStr">
        <is>
          <t>2015-01-21</t>
        </is>
      </c>
      <c r="E212" s="23" t="n">
        <v>15196</v>
      </c>
      <c r="F212" s="23" t="n">
        <v>2625</v>
      </c>
      <c r="G212" s="23" t="inlineStr">
        <is>
          <t>A</t>
        </is>
      </c>
      <c r="H212" s="23" t="n">
        <v>133</v>
      </c>
      <c r="I212" s="23" t="n">
        <v>169</v>
      </c>
      <c r="J212" s="23" t="inlineStr">
        <is>
          <t>2024-10-12</t>
        </is>
      </c>
      <c r="K212" s="23" t="n">
        <v>463</v>
      </c>
      <c r="L212" s="23" t="inlineStr">
        <is>
          <t>2020-10-03</t>
        </is>
      </c>
      <c r="M212" s="23" t="n">
        <v>1933</v>
      </c>
      <c r="N212" s="23" t="n">
        <v>9.9</v>
      </c>
      <c r="O212" s="23" t="inlineStr">
        <is>
          <t>Bakımda</t>
        </is>
      </c>
    </row>
    <row r="213">
      <c r="A213" s="23" t="inlineStr">
        <is>
          <t>TC-LGJ63</t>
        </is>
      </c>
      <c r="B213" s="23" t="inlineStr">
        <is>
          <t>Airbus A350-900</t>
        </is>
      </c>
      <c r="C213" s="23" t="inlineStr">
        <is>
          <t>WIDE</t>
        </is>
      </c>
      <c r="D213" s="23" t="inlineStr">
        <is>
          <t>2016-01-21</t>
        </is>
      </c>
      <c r="E213" s="23" t="n">
        <v>22902</v>
      </c>
      <c r="F213" s="23" t="n">
        <v>3768</v>
      </c>
      <c r="G213" s="23" t="inlineStr">
        <is>
          <t>A</t>
        </is>
      </c>
      <c r="H213" s="23" t="n">
        <v>403</v>
      </c>
      <c r="I213" s="23" t="n">
        <v>250</v>
      </c>
      <c r="J213" s="23" t="inlineStr">
        <is>
          <t>2025-09-17</t>
        </is>
      </c>
      <c r="K213" s="23" t="n">
        <v>123</v>
      </c>
      <c r="L213" s="23" t="inlineStr">
        <is>
          <t>2023-07-30</t>
        </is>
      </c>
      <c r="M213" s="23" t="n">
        <v>903</v>
      </c>
      <c r="N213" s="23" t="n">
        <v>11.4</v>
      </c>
      <c r="O213" s="23" t="inlineStr">
        <is>
          <t>Bakımda</t>
        </is>
      </c>
    </row>
    <row r="214">
      <c r="A214" s="23" t="inlineStr">
        <is>
          <t>TC-LGK77</t>
        </is>
      </c>
      <c r="B214" s="23" t="inlineStr">
        <is>
          <t>Airbus A350-900</t>
        </is>
      </c>
      <c r="C214" s="23" t="inlineStr">
        <is>
          <t>WIDE</t>
        </is>
      </c>
      <c r="D214" s="23" t="inlineStr">
        <is>
          <t>2021-01-19</t>
        </is>
      </c>
      <c r="E214" s="23" t="n">
        <v>48721</v>
      </c>
      <c r="F214" s="23" t="n">
        <v>7447</v>
      </c>
      <c r="G214" s="23" t="inlineStr">
        <is>
          <t>B</t>
        </is>
      </c>
      <c r="H214" s="23" t="n">
        <v>1327</v>
      </c>
      <c r="I214" s="23" t="n">
        <v>192</v>
      </c>
      <c r="J214" s="23" t="inlineStr">
        <is>
          <t>2026-01-01</t>
        </is>
      </c>
      <c r="K214" s="23" t="n">
        <v>17</v>
      </c>
      <c r="L214" s="23" t="inlineStr">
        <is>
          <t>2024-11-02</t>
        </is>
      </c>
      <c r="M214" s="23" t="n">
        <v>442</v>
      </c>
      <c r="N214" s="23" t="n">
        <v>13.6</v>
      </c>
      <c r="O214" s="23" t="inlineStr">
        <is>
          <t>Aktif</t>
        </is>
      </c>
    </row>
    <row r="215">
      <c r="A215" s="23" t="inlineStr">
        <is>
          <t>TC-LGL42</t>
        </is>
      </c>
      <c r="B215" s="23" t="inlineStr">
        <is>
          <t>Airbus A350-900</t>
        </is>
      </c>
      <c r="C215" s="23" t="inlineStr">
        <is>
          <t>WIDE</t>
        </is>
      </c>
      <c r="D215" s="23" t="inlineStr">
        <is>
          <t>2024-01-19</t>
        </is>
      </c>
      <c r="E215" s="23" t="n">
        <v>23969</v>
      </c>
      <c r="F215" s="23" t="n">
        <v>3609</v>
      </c>
      <c r="G215" s="23" t="inlineStr">
        <is>
          <t>B</t>
        </is>
      </c>
      <c r="H215" s="23" t="n">
        <v>1629</v>
      </c>
      <c r="I215" s="23" t="n">
        <v>961</v>
      </c>
      <c r="J215" s="23" t="inlineStr">
        <is>
          <t>2025-07-13</t>
        </is>
      </c>
      <c r="K215" s="23" t="n">
        <v>189</v>
      </c>
      <c r="L215" s="23" t="inlineStr">
        <is>
          <t>2024-10-13</t>
        </is>
      </c>
      <c r="M215" s="23" t="n">
        <v>462</v>
      </c>
      <c r="N215" s="23" t="n">
        <v>10.3</v>
      </c>
      <c r="O215" s="23" t="inlineStr">
        <is>
          <t>Aktif</t>
        </is>
      </c>
    </row>
    <row r="216">
      <c r="A216" s="23" t="inlineStr">
        <is>
          <t>TC-LGM74</t>
        </is>
      </c>
      <c r="B216" s="23" t="inlineStr">
        <is>
          <t>Airbus A350-900</t>
        </is>
      </c>
      <c r="C216" s="23" t="inlineStr">
        <is>
          <t>WIDE</t>
        </is>
      </c>
      <c r="D216" s="23" t="inlineStr">
        <is>
          <t>2012-01-22</t>
        </is>
      </c>
      <c r="E216" s="23" t="n">
        <v>41616</v>
      </c>
      <c r="F216" s="23" t="n">
        <v>4539</v>
      </c>
      <c r="G216" s="23" t="inlineStr">
        <is>
          <t>B</t>
        </is>
      </c>
      <c r="H216" s="23" t="n">
        <v>247</v>
      </c>
      <c r="I216" s="23" t="n">
        <v>893</v>
      </c>
      <c r="J216" s="23" t="inlineStr">
        <is>
          <t>2025-11-26</t>
        </is>
      </c>
      <c r="K216" s="23" t="n">
        <v>53</v>
      </c>
      <c r="L216" s="23" t="inlineStr">
        <is>
          <t>2023-01-15</t>
        </is>
      </c>
      <c r="M216" s="23" t="n">
        <v>1099</v>
      </c>
      <c r="N216" s="23" t="n">
        <v>9.699999999999999</v>
      </c>
      <c r="O216" s="23" t="inlineStr">
        <is>
          <t>Aktif</t>
        </is>
      </c>
    </row>
    <row r="217">
      <c r="A217" s="23" t="inlineStr">
        <is>
          <t>TC-LGN50</t>
        </is>
      </c>
      <c r="B217" s="23" t="inlineStr">
        <is>
          <t>Airbus A350-900</t>
        </is>
      </c>
      <c r="C217" s="23" t="inlineStr">
        <is>
          <t>WIDE</t>
        </is>
      </c>
      <c r="D217" s="23" t="inlineStr">
        <is>
          <t>2018-01-20</t>
        </is>
      </c>
      <c r="E217" s="23" t="n">
        <v>42732</v>
      </c>
      <c r="F217" s="23" t="n">
        <v>5979</v>
      </c>
      <c r="G217" s="23" t="inlineStr">
        <is>
          <t>C</t>
        </is>
      </c>
      <c r="H217" s="23" t="n">
        <v>3921</v>
      </c>
      <c r="I217" s="23" t="n">
        <v>1485</v>
      </c>
      <c r="J217" s="23" t="inlineStr">
        <is>
          <t>2025-09-13</t>
        </is>
      </c>
      <c r="K217" s="23" t="n">
        <v>127</v>
      </c>
      <c r="L217" s="23" t="inlineStr">
        <is>
          <t>2023-01-14</t>
        </is>
      </c>
      <c r="M217" s="23" t="n">
        <v>1100</v>
      </c>
      <c r="N217" s="23" t="n">
        <v>13.7</v>
      </c>
      <c r="O217" s="23" t="inlineStr">
        <is>
          <t>Aktif</t>
        </is>
      </c>
    </row>
    <row r="218">
      <c r="A218" s="23" t="inlineStr">
        <is>
          <t>TC-LGO89</t>
        </is>
      </c>
      <c r="B218" s="23" t="inlineStr">
        <is>
          <t>Airbus A350-900</t>
        </is>
      </c>
      <c r="C218" s="23" t="inlineStr">
        <is>
          <t>WIDE</t>
        </is>
      </c>
      <c r="D218" s="23" t="inlineStr">
        <is>
          <t>2019-01-20</t>
        </is>
      </c>
      <c r="E218" s="23" t="n">
        <v>35152</v>
      </c>
      <c r="F218" s="23" t="n">
        <v>3837</v>
      </c>
      <c r="G218" s="23" t="inlineStr">
        <is>
          <t>A</t>
        </is>
      </c>
      <c r="H218" s="23" t="n">
        <v>497</v>
      </c>
      <c r="I218" s="23" t="n">
        <v>84</v>
      </c>
      <c r="J218" s="23" t="inlineStr">
        <is>
          <t>2025-05-04</t>
        </is>
      </c>
      <c r="K218" s="23" t="n">
        <v>259</v>
      </c>
      <c r="L218" s="23" t="inlineStr">
        <is>
          <t>2022-08-22</t>
        </is>
      </c>
      <c r="M218" s="23" t="n">
        <v>1245</v>
      </c>
      <c r="N218" s="23" t="n">
        <v>9.199999999999999</v>
      </c>
      <c r="O218" s="23" t="inlineStr">
        <is>
          <t>Aktif</t>
        </is>
      </c>
    </row>
    <row r="219">
      <c r="A219" s="23" t="inlineStr">
        <is>
          <t>TC-LGP60</t>
        </is>
      </c>
      <c r="B219" s="23" t="inlineStr">
        <is>
          <t>Airbus A350-900</t>
        </is>
      </c>
      <c r="C219" s="23" t="inlineStr">
        <is>
          <t>WIDE</t>
        </is>
      </c>
      <c r="D219" s="23" t="inlineStr">
        <is>
          <t>2021-01-19</t>
        </is>
      </c>
      <c r="E219" s="23" t="n">
        <v>25334</v>
      </c>
      <c r="F219" s="23" t="n">
        <v>2902</v>
      </c>
      <c r="G219" s="23" t="inlineStr">
        <is>
          <t>B</t>
        </is>
      </c>
      <c r="H219" s="23" t="n">
        <v>1695</v>
      </c>
      <c r="I219" s="23" t="n">
        <v>424</v>
      </c>
      <c r="J219" s="23" t="inlineStr">
        <is>
          <t>2025-10-22</t>
        </is>
      </c>
      <c r="K219" s="23" t="n">
        <v>88</v>
      </c>
      <c r="L219" s="23" t="inlineStr">
        <is>
          <t>2021-08-10</t>
        </is>
      </c>
      <c r="M219" s="23" t="n">
        <v>1622</v>
      </c>
      <c r="N219" s="23" t="n">
        <v>6.9</v>
      </c>
      <c r="O219" s="23" t="inlineStr">
        <is>
          <t>Aktif</t>
        </is>
      </c>
    </row>
    <row r="220">
      <c r="A220" s="23" t="inlineStr">
        <is>
          <t>TC-LGQ54</t>
        </is>
      </c>
      <c r="B220" s="23" t="inlineStr">
        <is>
          <t>Airbus A350-900</t>
        </is>
      </c>
      <c r="C220" s="23" t="inlineStr">
        <is>
          <t>WIDE</t>
        </is>
      </c>
      <c r="D220" s="23" t="inlineStr">
        <is>
          <t>2011-01-22</t>
        </is>
      </c>
      <c r="E220" s="23" t="n">
        <v>28009</v>
      </c>
      <c r="F220" s="23" t="n">
        <v>3242</v>
      </c>
      <c r="G220" s="23" t="inlineStr">
        <is>
          <t>C</t>
        </is>
      </c>
      <c r="H220" s="23" t="n">
        <v>1709</v>
      </c>
      <c r="I220" s="23" t="n">
        <v>1267</v>
      </c>
      <c r="J220" s="23" t="inlineStr">
        <is>
          <t>2025-09-25</t>
        </is>
      </c>
      <c r="K220" s="23" t="n">
        <v>115</v>
      </c>
      <c r="L220" s="23" t="inlineStr">
        <is>
          <t>2024-11-14</t>
        </is>
      </c>
      <c r="M220" s="23" t="n">
        <v>430</v>
      </c>
      <c r="N220" s="23" t="n">
        <v>7.6</v>
      </c>
      <c r="O220" s="23" t="inlineStr">
        <is>
          <t>Aktif</t>
        </is>
      </c>
    </row>
    <row r="221">
      <c r="A221" s="23" t="inlineStr">
        <is>
          <t>TC-LGR93</t>
        </is>
      </c>
      <c r="B221" s="23" t="inlineStr">
        <is>
          <t>Airbus A350-900</t>
        </is>
      </c>
      <c r="C221" s="23" t="inlineStr">
        <is>
          <t>WIDE</t>
        </is>
      </c>
      <c r="D221" s="23" t="inlineStr">
        <is>
          <t>2012-01-22</t>
        </is>
      </c>
      <c r="E221" s="23" t="n">
        <v>9938</v>
      </c>
      <c r="F221" s="23" t="n">
        <v>1688</v>
      </c>
      <c r="G221" s="23" t="inlineStr">
        <is>
          <t>C</t>
        </is>
      </c>
      <c r="H221" s="23" t="n">
        <v>4547</v>
      </c>
      <c r="I221" s="23" t="n">
        <v>2200</v>
      </c>
      <c r="J221" s="23" t="inlineStr">
        <is>
          <t>2024-06-10</t>
        </is>
      </c>
      <c r="K221" s="23" t="n">
        <v>587</v>
      </c>
      <c r="L221" s="23" t="inlineStr">
        <is>
          <t>2019-08-25</t>
        </is>
      </c>
      <c r="M221" s="23" t="n">
        <v>2338</v>
      </c>
      <c r="N221" s="23" t="n">
        <v>9.6</v>
      </c>
      <c r="O221" s="23" t="inlineStr">
        <is>
          <t>Aktif</t>
        </is>
      </c>
    </row>
    <row r="222">
      <c r="A222" s="23" t="inlineStr">
        <is>
          <t>TC-LGS90</t>
        </is>
      </c>
      <c r="B222" s="23" t="inlineStr">
        <is>
          <t>Airbus A350-900</t>
        </is>
      </c>
      <c r="C222" s="23" t="inlineStr">
        <is>
          <t>WIDE</t>
        </is>
      </c>
      <c r="D222" s="23" t="inlineStr">
        <is>
          <t>2023-01-19</t>
        </is>
      </c>
      <c r="E222" s="23" t="n">
        <v>25718</v>
      </c>
      <c r="F222" s="23" t="n">
        <v>4468</v>
      </c>
      <c r="G222" s="23" t="inlineStr">
        <is>
          <t>B</t>
        </is>
      </c>
      <c r="H222" s="23" t="n">
        <v>1005</v>
      </c>
      <c r="I222" s="23" t="n">
        <v>700</v>
      </c>
      <c r="J222" s="23" t="inlineStr">
        <is>
          <t>2025-04-02</t>
        </is>
      </c>
      <c r="K222" s="23" t="n">
        <v>291</v>
      </c>
      <c r="L222" s="23" t="inlineStr">
        <is>
          <t>2022-01-05</t>
        </is>
      </c>
      <c r="M222" s="23" t="n">
        <v>1474</v>
      </c>
      <c r="N222" s="23" t="n">
        <v>8.800000000000001</v>
      </c>
      <c r="O222" s="23" t="inlineStr">
        <is>
          <t>Aktif</t>
        </is>
      </c>
    </row>
    <row r="223">
      <c r="A223" s="23" t="inlineStr">
        <is>
          <t>TC-LGT49</t>
        </is>
      </c>
      <c r="B223" s="23" t="inlineStr">
        <is>
          <t>Airbus A350-900</t>
        </is>
      </c>
      <c r="C223" s="23" t="inlineStr">
        <is>
          <t>WIDE</t>
        </is>
      </c>
      <c r="D223" s="23" t="inlineStr">
        <is>
          <t>2024-01-19</t>
        </is>
      </c>
      <c r="E223" s="23" t="n">
        <v>35260</v>
      </c>
      <c r="F223" s="23" t="n">
        <v>4857</v>
      </c>
      <c r="G223" s="23" t="inlineStr">
        <is>
          <t>B</t>
        </is>
      </c>
      <c r="H223" s="23" t="n">
        <v>1803</v>
      </c>
      <c r="I223" s="23" t="n">
        <v>667</v>
      </c>
      <c r="J223" s="23" t="inlineStr">
        <is>
          <t>2025-10-22</t>
        </is>
      </c>
      <c r="K223" s="23" t="n">
        <v>88</v>
      </c>
      <c r="L223" s="23" t="inlineStr">
        <is>
          <t>2020-12-27</t>
        </is>
      </c>
      <c r="M223" s="23" t="n">
        <v>1848</v>
      </c>
      <c r="N223" s="23" t="n">
        <v>10.9</v>
      </c>
      <c r="O223" s="23" t="inlineStr">
        <is>
          <t>Bakımda</t>
        </is>
      </c>
    </row>
    <row r="224">
      <c r="A224" s="23" t="inlineStr">
        <is>
          <t>TC-LGU69</t>
        </is>
      </c>
      <c r="B224" s="23" t="inlineStr">
        <is>
          <t>Airbus A350-900</t>
        </is>
      </c>
      <c r="C224" s="23" t="inlineStr">
        <is>
          <t>WIDE</t>
        </is>
      </c>
      <c r="D224" s="23" t="inlineStr">
        <is>
          <t>2012-01-22</t>
        </is>
      </c>
      <c r="E224" s="23" t="n">
        <v>43032</v>
      </c>
      <c r="F224" s="23" t="n">
        <v>5537</v>
      </c>
      <c r="G224" s="23" t="inlineStr">
        <is>
          <t>C</t>
        </is>
      </c>
      <c r="H224" s="23" t="n">
        <v>836</v>
      </c>
      <c r="I224" s="23" t="n">
        <v>2142</v>
      </c>
      <c r="J224" s="23" t="inlineStr">
        <is>
          <t>2024-06-02</t>
        </is>
      </c>
      <c r="K224" s="23" t="n">
        <v>595</v>
      </c>
      <c r="L224" s="23" t="inlineStr">
        <is>
          <t>2020-12-02</t>
        </is>
      </c>
      <c r="M224" s="23" t="n">
        <v>1873</v>
      </c>
      <c r="N224" s="23" t="n">
        <v>8.6</v>
      </c>
      <c r="O224" s="23" t="inlineStr">
        <is>
          <t>Bakımda</t>
        </is>
      </c>
    </row>
    <row r="225">
      <c r="A225" s="23" t="inlineStr">
        <is>
          <t>TC-LGV74</t>
        </is>
      </c>
      <c r="B225" s="23" t="inlineStr">
        <is>
          <t>Airbus A350-900</t>
        </is>
      </c>
      <c r="C225" s="23" t="inlineStr">
        <is>
          <t>WIDE</t>
        </is>
      </c>
      <c r="D225" s="23" t="inlineStr">
        <is>
          <t>2017-01-20</t>
        </is>
      </c>
      <c r="E225" s="23" t="n">
        <v>14886</v>
      </c>
      <c r="F225" s="23" t="n">
        <v>1520</v>
      </c>
      <c r="G225" s="23" t="inlineStr">
        <is>
          <t>A</t>
        </is>
      </c>
      <c r="H225" s="23" t="n">
        <v>401</v>
      </c>
      <c r="I225" s="23" t="n">
        <v>73</v>
      </c>
      <c r="J225" s="23" t="inlineStr">
        <is>
          <t>2024-08-10</t>
        </is>
      </c>
      <c r="K225" s="23" t="n">
        <v>526</v>
      </c>
      <c r="L225" s="23" t="inlineStr">
        <is>
          <t>2020-12-06</t>
        </is>
      </c>
      <c r="M225" s="23" t="n">
        <v>1869</v>
      </c>
      <c r="N225" s="23" t="n">
        <v>6.3</v>
      </c>
      <c r="O225" s="23" t="inlineStr">
        <is>
          <t>Bakımda</t>
        </is>
      </c>
    </row>
    <row r="226">
      <c r="A226" s="23" t="inlineStr">
        <is>
          <t>TC-LGW66</t>
        </is>
      </c>
      <c r="B226" s="23" t="inlineStr">
        <is>
          <t>Airbus A350-900</t>
        </is>
      </c>
      <c r="C226" s="23" t="inlineStr">
        <is>
          <t>WIDE</t>
        </is>
      </c>
      <c r="D226" s="23" t="inlineStr">
        <is>
          <t>2022-01-19</t>
        </is>
      </c>
      <c r="E226" s="23" t="n">
        <v>39345</v>
      </c>
      <c r="F226" s="23" t="n">
        <v>5167</v>
      </c>
      <c r="G226" s="23" t="inlineStr">
        <is>
          <t>B</t>
        </is>
      </c>
      <c r="H226" s="23" t="n">
        <v>863</v>
      </c>
      <c r="I226" s="23" t="n">
        <v>659</v>
      </c>
      <c r="J226" s="23" t="inlineStr">
        <is>
          <t>2024-12-08</t>
        </is>
      </c>
      <c r="K226" s="23" t="n">
        <v>406</v>
      </c>
      <c r="L226" s="23" t="inlineStr">
        <is>
          <t>2022-10-25</t>
        </is>
      </c>
      <c r="M226" s="23" t="n">
        <v>1181</v>
      </c>
      <c r="N226" s="23" t="n">
        <v>11.4</v>
      </c>
      <c r="O226" s="23" t="inlineStr">
        <is>
          <t>Aktif</t>
        </is>
      </c>
    </row>
    <row r="227">
      <c r="A227" s="23" t="inlineStr">
        <is>
          <t>TC-LGX90</t>
        </is>
      </c>
      <c r="B227" s="23" t="inlineStr">
        <is>
          <t>Airbus A350-900</t>
        </is>
      </c>
      <c r="C227" s="23" t="inlineStr">
        <is>
          <t>WIDE</t>
        </is>
      </c>
      <c r="D227" s="23" t="inlineStr">
        <is>
          <t>2019-01-20</t>
        </is>
      </c>
      <c r="E227" s="23" t="n">
        <v>47421</v>
      </c>
      <c r="F227" s="23" t="n">
        <v>7106</v>
      </c>
      <c r="G227" s="23" t="inlineStr">
        <is>
          <t>A</t>
        </is>
      </c>
      <c r="H227" s="23" t="n">
        <v>445</v>
      </c>
      <c r="I227" s="23" t="n">
        <v>175</v>
      </c>
      <c r="J227" s="23" t="inlineStr">
        <is>
          <t>2025-04-25</t>
        </is>
      </c>
      <c r="K227" s="23" t="n">
        <v>268</v>
      </c>
      <c r="L227" s="23" t="inlineStr">
        <is>
          <t>2020-08-04</t>
        </is>
      </c>
      <c r="M227" s="23" t="n">
        <v>1993</v>
      </c>
      <c r="N227" s="23" t="n">
        <v>13.7</v>
      </c>
      <c r="O227" s="23" t="inlineStr">
        <is>
          <t>Aktif</t>
        </is>
      </c>
    </row>
    <row r="228">
      <c r="A228" s="23" t="inlineStr">
        <is>
          <t>TC-LGY52</t>
        </is>
      </c>
      <c r="B228" s="23" t="inlineStr">
        <is>
          <t>Airbus A350-900</t>
        </is>
      </c>
      <c r="C228" s="23" t="inlineStr">
        <is>
          <t>WIDE</t>
        </is>
      </c>
      <c r="D228" s="23" t="inlineStr">
        <is>
          <t>2022-01-19</t>
        </is>
      </c>
      <c r="E228" s="23" t="n">
        <v>10341</v>
      </c>
      <c r="F228" s="23" t="n">
        <v>1306</v>
      </c>
      <c r="G228" s="23" t="inlineStr">
        <is>
          <t>B</t>
        </is>
      </c>
      <c r="H228" s="23" t="n">
        <v>735</v>
      </c>
      <c r="I228" s="23" t="n">
        <v>882</v>
      </c>
      <c r="J228" s="23" t="inlineStr">
        <is>
          <t>2025-08-29</t>
        </is>
      </c>
      <c r="K228" s="23" t="n">
        <v>142</v>
      </c>
      <c r="L228" s="23" t="inlineStr">
        <is>
          <t>2021-12-29</t>
        </is>
      </c>
      <c r="M228" s="23" t="n">
        <v>1481</v>
      </c>
      <c r="N228" s="23" t="n">
        <v>8.5</v>
      </c>
      <c r="O228" s="23" t="inlineStr">
        <is>
          <t>Bakımda</t>
        </is>
      </c>
    </row>
    <row r="229">
      <c r="A229" s="23" t="inlineStr">
        <is>
          <t>TC-LGZ92</t>
        </is>
      </c>
      <c r="B229" s="23" t="inlineStr">
        <is>
          <t>Airbus A350-900</t>
        </is>
      </c>
      <c r="C229" s="23" t="inlineStr">
        <is>
          <t>WIDE</t>
        </is>
      </c>
      <c r="D229" s="23" t="inlineStr">
        <is>
          <t>2014-01-21</t>
        </is>
      </c>
      <c r="E229" s="23" t="n">
        <v>26527</v>
      </c>
      <c r="F229" s="23" t="n">
        <v>2926</v>
      </c>
      <c r="G229" s="23" t="inlineStr">
        <is>
          <t>C</t>
        </is>
      </c>
      <c r="H229" s="23" t="n">
        <v>4812</v>
      </c>
      <c r="I229" s="23" t="n">
        <v>682</v>
      </c>
      <c r="J229" s="23" t="inlineStr">
        <is>
          <t>2024-11-01</t>
        </is>
      </c>
      <c r="K229" s="23" t="n">
        <v>443</v>
      </c>
      <c r="L229" s="23" t="inlineStr">
        <is>
          <t>2021-10-19</t>
        </is>
      </c>
      <c r="M229" s="23" t="n">
        <v>1552</v>
      </c>
      <c r="N229" s="23" t="n">
        <v>6.1</v>
      </c>
      <c r="O229" s="23" t="inlineStr">
        <is>
          <t>Aktif</t>
        </is>
      </c>
    </row>
    <row r="230">
      <c r="A230" s="23" t="inlineStr">
        <is>
          <t>TC-LJB27</t>
        </is>
      </c>
      <c r="B230" s="23" t="inlineStr">
        <is>
          <t>Boeing 777F</t>
        </is>
      </c>
      <c r="C230" s="23" t="inlineStr">
        <is>
          <t>CARGO</t>
        </is>
      </c>
      <c r="D230" s="23" t="inlineStr">
        <is>
          <t>2018-01-20</t>
        </is>
      </c>
      <c r="E230" s="23" t="n">
        <v>13071</v>
      </c>
      <c r="F230" s="23" t="n">
        <v>1644</v>
      </c>
      <c r="G230" s="23" t="inlineStr">
        <is>
          <t>B</t>
        </is>
      </c>
      <c r="H230" s="23" t="n">
        <v>979</v>
      </c>
      <c r="I230" s="23" t="n">
        <v>724</v>
      </c>
      <c r="J230" s="23" t="inlineStr">
        <is>
          <t>2025-08-18</t>
        </is>
      </c>
      <c r="K230" s="23" t="n">
        <v>153</v>
      </c>
      <c r="L230" s="23" t="inlineStr">
        <is>
          <t>2024-11-09</t>
        </is>
      </c>
      <c r="M230" s="23" t="n">
        <v>435</v>
      </c>
      <c r="N230" s="23" t="n">
        <v>11.2</v>
      </c>
      <c r="O230" s="23" t="inlineStr">
        <is>
          <t>Aktif</t>
        </is>
      </c>
    </row>
    <row r="231">
      <c r="A231" s="23" t="inlineStr">
        <is>
          <t>TC-LJC80</t>
        </is>
      </c>
      <c r="B231" s="23" t="inlineStr">
        <is>
          <t>Boeing 777F</t>
        </is>
      </c>
      <c r="C231" s="23" t="inlineStr">
        <is>
          <t>CARGO</t>
        </is>
      </c>
      <c r="D231" s="23" t="inlineStr">
        <is>
          <t>2015-01-21</t>
        </is>
      </c>
      <c r="E231" s="23" t="n">
        <v>44387</v>
      </c>
      <c r="F231" s="23" t="n">
        <v>5548</v>
      </c>
      <c r="G231" s="23" t="inlineStr">
        <is>
          <t>B</t>
        </is>
      </c>
      <c r="H231" s="23" t="n">
        <v>1695</v>
      </c>
      <c r="I231" s="23" t="n">
        <v>134</v>
      </c>
      <c r="J231" s="23" t="inlineStr">
        <is>
          <t>2025-03-06</t>
        </is>
      </c>
      <c r="K231" s="23" t="n">
        <v>318</v>
      </c>
      <c r="L231" s="23" t="inlineStr">
        <is>
          <t>2024-09-08</t>
        </is>
      </c>
      <c r="M231" s="23" t="n">
        <v>497</v>
      </c>
      <c r="N231" s="23" t="n">
        <v>10.9</v>
      </c>
      <c r="O231" s="23" t="inlineStr">
        <is>
          <t>Aktif</t>
        </is>
      </c>
    </row>
    <row r="232">
      <c r="A232" s="23" t="inlineStr">
        <is>
          <t>TC-LJD60</t>
        </is>
      </c>
      <c r="B232" s="23" t="inlineStr">
        <is>
          <t>Boeing 777F</t>
        </is>
      </c>
      <c r="C232" s="23" t="inlineStr">
        <is>
          <t>CARGO</t>
        </is>
      </c>
      <c r="D232" s="23" t="inlineStr">
        <is>
          <t>2012-01-22</t>
        </is>
      </c>
      <c r="E232" s="23" t="n">
        <v>24368</v>
      </c>
      <c r="F232" s="23" t="n">
        <v>2960</v>
      </c>
      <c r="G232" s="23" t="inlineStr">
        <is>
          <t>A</t>
        </is>
      </c>
      <c r="H232" s="23" t="n">
        <v>556</v>
      </c>
      <c r="I232" s="23" t="n">
        <v>227</v>
      </c>
      <c r="J232" s="23" t="inlineStr">
        <is>
          <t>2025-09-15</t>
        </is>
      </c>
      <c r="K232" s="23" t="n">
        <v>125</v>
      </c>
      <c r="L232" s="23" t="inlineStr">
        <is>
          <t>2024-09-13</t>
        </is>
      </c>
      <c r="M232" s="23" t="n">
        <v>492</v>
      </c>
      <c r="N232" s="23" t="n">
        <v>11.1</v>
      </c>
      <c r="O232" s="23" t="inlineStr">
        <is>
          <t>Aktif</t>
        </is>
      </c>
    </row>
    <row r="233">
      <c r="A233" s="23" t="inlineStr">
        <is>
          <t>TC-LJE77</t>
        </is>
      </c>
      <c r="B233" s="23" t="inlineStr">
        <is>
          <t>Boeing 777F</t>
        </is>
      </c>
      <c r="C233" s="23" t="inlineStr">
        <is>
          <t>CARGO</t>
        </is>
      </c>
      <c r="D233" s="23" t="inlineStr">
        <is>
          <t>2019-01-20</t>
        </is>
      </c>
      <c r="E233" s="23" t="n">
        <v>5790</v>
      </c>
      <c r="F233" s="23" t="n">
        <v>582</v>
      </c>
      <c r="G233" s="23" t="inlineStr">
        <is>
          <t>A</t>
        </is>
      </c>
      <c r="H233" s="23" t="n">
        <v>446</v>
      </c>
      <c r="I233" s="23" t="n">
        <v>321</v>
      </c>
      <c r="J233" s="23" t="inlineStr">
        <is>
          <t>2024-11-04</t>
        </is>
      </c>
      <c r="K233" s="23" t="n">
        <v>440</v>
      </c>
      <c r="L233" s="23" t="inlineStr">
        <is>
          <t>2023-09-02</t>
        </is>
      </c>
      <c r="M233" s="23" t="n">
        <v>869</v>
      </c>
      <c r="N233" s="23" t="n">
        <v>11.5</v>
      </c>
      <c r="O233" s="23" t="inlineStr">
        <is>
          <t>Bakımda</t>
        </is>
      </c>
    </row>
    <row r="234">
      <c r="A234" s="23" t="inlineStr">
        <is>
          <t>TC-LJF19</t>
        </is>
      </c>
      <c r="B234" s="23" t="inlineStr">
        <is>
          <t>Boeing 777F</t>
        </is>
      </c>
      <c r="C234" s="23" t="inlineStr">
        <is>
          <t>CARGO</t>
        </is>
      </c>
      <c r="D234" s="23" t="inlineStr">
        <is>
          <t>2024-01-19</t>
        </is>
      </c>
      <c r="E234" s="23" t="n">
        <v>6093</v>
      </c>
      <c r="F234" s="23" t="n">
        <v>767</v>
      </c>
      <c r="G234" s="23" t="inlineStr">
        <is>
          <t>B</t>
        </is>
      </c>
      <c r="H234" s="23" t="n">
        <v>541</v>
      </c>
      <c r="I234" s="23" t="n">
        <v>161</v>
      </c>
      <c r="J234" s="23" t="inlineStr">
        <is>
          <t>2025-11-08</t>
        </is>
      </c>
      <c r="K234" s="23" t="n">
        <v>71</v>
      </c>
      <c r="L234" s="23" t="inlineStr">
        <is>
          <t>2019-10-11</t>
        </is>
      </c>
      <c r="M234" s="23" t="n">
        <v>2291</v>
      </c>
      <c r="N234" s="23" t="n">
        <v>10.1</v>
      </c>
      <c r="O234" s="23" t="inlineStr">
        <is>
          <t>Bakımda</t>
        </is>
      </c>
    </row>
    <row r="235">
      <c r="A235" s="23" t="inlineStr">
        <is>
          <t>TC-LJG64</t>
        </is>
      </c>
      <c r="B235" s="23" t="inlineStr">
        <is>
          <t>Boeing 777F</t>
        </is>
      </c>
      <c r="C235" s="23" t="inlineStr">
        <is>
          <t>CARGO</t>
        </is>
      </c>
      <c r="D235" s="23" t="inlineStr">
        <is>
          <t>2016-01-21</t>
        </is>
      </c>
      <c r="E235" s="23" t="n">
        <v>31363</v>
      </c>
      <c r="F235" s="23" t="n">
        <v>5794</v>
      </c>
      <c r="G235" s="23" t="inlineStr">
        <is>
          <t>C</t>
        </is>
      </c>
      <c r="H235" s="23" t="n">
        <v>1750</v>
      </c>
      <c r="I235" s="23" t="n">
        <v>1436</v>
      </c>
      <c r="J235" s="23" t="inlineStr">
        <is>
          <t>2025-10-15</t>
        </is>
      </c>
      <c r="K235" s="23" t="n">
        <v>95</v>
      </c>
      <c r="L235" s="23" t="inlineStr">
        <is>
          <t>2023-12-30</t>
        </is>
      </c>
      <c r="M235" s="23" t="n">
        <v>750</v>
      </c>
      <c r="N235" s="23" t="n">
        <v>10.1</v>
      </c>
      <c r="O235" s="23" t="inlineStr">
        <is>
          <t>Aktif</t>
        </is>
      </c>
    </row>
    <row r="236">
      <c r="A236" s="23" t="inlineStr">
        <is>
          <t>TC-LJH29</t>
        </is>
      </c>
      <c r="B236" s="23" t="inlineStr">
        <is>
          <t>Boeing 777F</t>
        </is>
      </c>
      <c r="C236" s="23" t="inlineStr">
        <is>
          <t>CARGO</t>
        </is>
      </c>
      <c r="D236" s="23" t="inlineStr">
        <is>
          <t>2015-01-21</t>
        </is>
      </c>
      <c r="E236" s="23" t="n">
        <v>40152</v>
      </c>
      <c r="F236" s="23" t="n">
        <v>6052</v>
      </c>
      <c r="G236" s="23" t="inlineStr">
        <is>
          <t>C</t>
        </is>
      </c>
      <c r="H236" s="23" t="n">
        <v>1041</v>
      </c>
      <c r="I236" s="23" t="n">
        <v>1570</v>
      </c>
      <c r="J236" s="23" t="inlineStr">
        <is>
          <t>2024-10-18</t>
        </is>
      </c>
      <c r="K236" s="23" t="n">
        <v>457</v>
      </c>
      <c r="L236" s="23" t="inlineStr">
        <is>
          <t>2020-11-19</t>
        </is>
      </c>
      <c r="M236" s="23" t="n">
        <v>1886</v>
      </c>
      <c r="N236" s="23" t="n">
        <v>6.5</v>
      </c>
      <c r="O236" s="23" t="inlineStr">
        <is>
          <t>Aktif</t>
        </is>
      </c>
    </row>
    <row r="237">
      <c r="A237" s="23" t="inlineStr">
        <is>
          <t>TC-LJI65</t>
        </is>
      </c>
      <c r="B237" s="23" t="inlineStr">
        <is>
          <t>Boeing 777F</t>
        </is>
      </c>
      <c r="C237" s="23" t="inlineStr">
        <is>
          <t>CARGO</t>
        </is>
      </c>
      <c r="D237" s="23" t="inlineStr">
        <is>
          <t>2015-01-21</t>
        </is>
      </c>
      <c r="E237" s="23" t="n">
        <v>12601</v>
      </c>
      <c r="F237" s="23" t="n">
        <v>1734</v>
      </c>
      <c r="G237" s="23" t="inlineStr">
        <is>
          <t>A</t>
        </is>
      </c>
      <c r="H237" s="23" t="n">
        <v>366</v>
      </c>
      <c r="I237" s="23" t="n">
        <v>371</v>
      </c>
      <c r="J237" s="23" t="inlineStr">
        <is>
          <t>2025-07-13</t>
        </is>
      </c>
      <c r="K237" s="23" t="n">
        <v>189</v>
      </c>
      <c r="L237" s="23" t="inlineStr">
        <is>
          <t>2026-01-15</t>
        </is>
      </c>
      <c r="M237" s="23" t="n">
        <v>3</v>
      </c>
      <c r="N237" s="23" t="n">
        <v>11.7</v>
      </c>
      <c r="O237" s="23" t="inlineStr">
        <is>
          <t>Aktif</t>
        </is>
      </c>
    </row>
    <row r="238">
      <c r="A238" s="23" t="inlineStr">
        <is>
          <t>TC-LLB83</t>
        </is>
      </c>
      <c r="B238" s="23" t="inlineStr">
        <is>
          <t>Boeing 787-9</t>
        </is>
      </c>
      <c r="C238" s="23" t="inlineStr">
        <is>
          <t>WIDE</t>
        </is>
      </c>
      <c r="D238" s="23" t="inlineStr">
        <is>
          <t>2016-01-21</t>
        </is>
      </c>
      <c r="E238" s="23" t="n">
        <v>11668</v>
      </c>
      <c r="F238" s="23" t="n">
        <v>1296</v>
      </c>
      <c r="G238" s="23" t="inlineStr">
        <is>
          <t>A</t>
        </is>
      </c>
      <c r="H238" s="23" t="n">
        <v>424</v>
      </c>
      <c r="I238" s="23" t="n">
        <v>196</v>
      </c>
      <c r="J238" s="23" t="inlineStr">
        <is>
          <t>2025-06-21</t>
        </is>
      </c>
      <c r="K238" s="23" t="n">
        <v>211</v>
      </c>
      <c r="L238" s="23" t="inlineStr">
        <is>
          <t>2022-12-21</t>
        </is>
      </c>
      <c r="M238" s="23" t="n">
        <v>1124</v>
      </c>
      <c r="N238" s="23" t="n">
        <v>8.1</v>
      </c>
      <c r="O238" s="23" t="inlineStr">
        <is>
          <t>Bakımda</t>
        </is>
      </c>
    </row>
    <row r="239">
      <c r="A239" s="23" t="inlineStr">
        <is>
          <t>TC-LLC77</t>
        </is>
      </c>
      <c r="B239" s="23" t="inlineStr">
        <is>
          <t>Boeing 787-9</t>
        </is>
      </c>
      <c r="C239" s="23" t="inlineStr">
        <is>
          <t>WIDE</t>
        </is>
      </c>
      <c r="D239" s="23" t="inlineStr">
        <is>
          <t>2018-01-20</t>
        </is>
      </c>
      <c r="E239" s="23" t="n">
        <v>46884</v>
      </c>
      <c r="F239" s="23" t="n">
        <v>7139</v>
      </c>
      <c r="G239" s="23" t="inlineStr">
        <is>
          <t>C</t>
        </is>
      </c>
      <c r="H239" s="23" t="n">
        <v>3715</v>
      </c>
      <c r="I239" s="23" t="n">
        <v>2704</v>
      </c>
      <c r="J239" s="23" t="inlineStr">
        <is>
          <t>2025-09-14</t>
        </is>
      </c>
      <c r="K239" s="23" t="n">
        <v>126</v>
      </c>
      <c r="L239" s="23" t="inlineStr">
        <is>
          <t>2023-10-21</t>
        </is>
      </c>
      <c r="M239" s="23" t="n">
        <v>820</v>
      </c>
      <c r="N239" s="23" t="n">
        <v>12.8</v>
      </c>
      <c r="O239" s="23" t="inlineStr">
        <is>
          <t>Aktif</t>
        </is>
      </c>
    </row>
    <row r="240">
      <c r="A240" s="23" t="inlineStr">
        <is>
          <t>TC-LLD96</t>
        </is>
      </c>
      <c r="B240" s="23" t="inlineStr">
        <is>
          <t>Boeing 787-9</t>
        </is>
      </c>
      <c r="C240" s="23" t="inlineStr">
        <is>
          <t>WIDE</t>
        </is>
      </c>
      <c r="D240" s="23" t="inlineStr">
        <is>
          <t>2015-01-21</t>
        </is>
      </c>
      <c r="E240" s="23" t="n">
        <v>24493</v>
      </c>
      <c r="F240" s="23" t="n">
        <v>2553</v>
      </c>
      <c r="G240" s="23" t="inlineStr">
        <is>
          <t>A</t>
        </is>
      </c>
      <c r="H240" s="23" t="n">
        <v>187</v>
      </c>
      <c r="I240" s="23" t="n">
        <v>190</v>
      </c>
      <c r="J240" s="23" t="inlineStr">
        <is>
          <t>2025-09-10</t>
        </is>
      </c>
      <c r="K240" s="23" t="n">
        <v>130</v>
      </c>
      <c r="L240" s="23" t="inlineStr">
        <is>
          <t>2024-11-01</t>
        </is>
      </c>
      <c r="M240" s="23" t="n">
        <v>443</v>
      </c>
      <c r="N240" s="23" t="n">
        <v>6.9</v>
      </c>
      <c r="O240" s="23" t="inlineStr">
        <is>
          <t>Aktif</t>
        </is>
      </c>
    </row>
    <row r="241">
      <c r="A241" s="23" t="inlineStr">
        <is>
          <t>TC-LLE98</t>
        </is>
      </c>
      <c r="B241" s="23" t="inlineStr">
        <is>
          <t>Boeing 787-9</t>
        </is>
      </c>
      <c r="C241" s="23" t="inlineStr">
        <is>
          <t>WIDE</t>
        </is>
      </c>
      <c r="D241" s="23" t="inlineStr">
        <is>
          <t>2018-01-20</t>
        </is>
      </c>
      <c r="E241" s="23" t="n">
        <v>14264</v>
      </c>
      <c r="F241" s="23" t="n">
        <v>1888</v>
      </c>
      <c r="G241" s="23" t="inlineStr">
        <is>
          <t>C</t>
        </is>
      </c>
      <c r="H241" s="23" t="n">
        <v>1629</v>
      </c>
      <c r="I241" s="23" t="n">
        <v>2654</v>
      </c>
      <c r="J241" s="23" t="inlineStr">
        <is>
          <t>2024-12-12</t>
        </is>
      </c>
      <c r="K241" s="23" t="n">
        <v>402</v>
      </c>
      <c r="L241" s="23" t="inlineStr">
        <is>
          <t>2022-12-03</t>
        </is>
      </c>
      <c r="M241" s="23" t="n">
        <v>1142</v>
      </c>
      <c r="N241" s="23" t="n">
        <v>9.9</v>
      </c>
      <c r="O241" s="23" t="inlineStr">
        <is>
          <t>Aktif</t>
        </is>
      </c>
    </row>
    <row r="242">
      <c r="A242" s="23" t="inlineStr">
        <is>
          <t>TC-LLF81</t>
        </is>
      </c>
      <c r="B242" s="23" t="inlineStr">
        <is>
          <t>Boeing 787-9</t>
        </is>
      </c>
      <c r="C242" s="23" t="inlineStr">
        <is>
          <t>WIDE</t>
        </is>
      </c>
      <c r="D242" s="23" t="inlineStr">
        <is>
          <t>2022-01-19</t>
        </is>
      </c>
      <c r="E242" s="23" t="n">
        <v>15935</v>
      </c>
      <c r="F242" s="23" t="n">
        <v>2139</v>
      </c>
      <c r="G242" s="23" t="inlineStr">
        <is>
          <t>A</t>
        </is>
      </c>
      <c r="H242" s="23" t="n">
        <v>372</v>
      </c>
      <c r="I242" s="23" t="n">
        <v>260</v>
      </c>
      <c r="J242" s="23" t="inlineStr">
        <is>
          <t>2025-11-15</t>
        </is>
      </c>
      <c r="K242" s="23" t="n">
        <v>64</v>
      </c>
      <c r="L242" s="23" t="inlineStr">
        <is>
          <t>2019-10-21</t>
        </is>
      </c>
      <c r="M242" s="23" t="n">
        <v>2281</v>
      </c>
      <c r="N242" s="23" t="n">
        <v>13.6</v>
      </c>
      <c r="O242" s="23" t="inlineStr">
        <is>
          <t>Bakımda</t>
        </is>
      </c>
    </row>
    <row r="243">
      <c r="A243" s="23" t="inlineStr">
        <is>
          <t>TC-LLG27</t>
        </is>
      </c>
      <c r="B243" s="23" t="inlineStr">
        <is>
          <t>Boeing 787-9</t>
        </is>
      </c>
      <c r="C243" s="23" t="inlineStr">
        <is>
          <t>WIDE</t>
        </is>
      </c>
      <c r="D243" s="23" t="inlineStr">
        <is>
          <t>2016-01-21</t>
        </is>
      </c>
      <c r="E243" s="23" t="n">
        <v>17787</v>
      </c>
      <c r="F243" s="23" t="n">
        <v>1959</v>
      </c>
      <c r="G243" s="23" t="inlineStr">
        <is>
          <t>C</t>
        </is>
      </c>
      <c r="H243" s="23" t="n">
        <v>4554</v>
      </c>
      <c r="I243" s="23" t="n">
        <v>1975</v>
      </c>
      <c r="J243" s="23" t="inlineStr">
        <is>
          <t>2024-08-23</t>
        </is>
      </c>
      <c r="K243" s="23" t="n">
        <v>513</v>
      </c>
      <c r="L243" s="23" t="inlineStr">
        <is>
          <t>2022-09-28</t>
        </is>
      </c>
      <c r="M243" s="23" t="n">
        <v>1208</v>
      </c>
      <c r="N243" s="23" t="n">
        <v>9.9</v>
      </c>
      <c r="O243" s="23" t="inlineStr">
        <is>
          <t>Aktif</t>
        </is>
      </c>
    </row>
    <row r="244">
      <c r="A244" s="23" t="inlineStr">
        <is>
          <t>TC-LLH82</t>
        </is>
      </c>
      <c r="B244" s="23" t="inlineStr">
        <is>
          <t>Boeing 787-9</t>
        </is>
      </c>
      <c r="C244" s="23" t="inlineStr">
        <is>
          <t>WIDE</t>
        </is>
      </c>
      <c r="D244" s="23" t="inlineStr">
        <is>
          <t>2021-01-19</t>
        </is>
      </c>
      <c r="E244" s="23" t="n">
        <v>7022</v>
      </c>
      <c r="F244" s="23" t="n">
        <v>782</v>
      </c>
      <c r="G244" s="23" t="inlineStr">
        <is>
          <t>B</t>
        </is>
      </c>
      <c r="H244" s="23" t="n">
        <v>166</v>
      </c>
      <c r="I244" s="23" t="n">
        <v>642</v>
      </c>
      <c r="J244" s="23" t="inlineStr">
        <is>
          <t>2025-05-23</t>
        </is>
      </c>
      <c r="K244" s="23" t="n">
        <v>240</v>
      </c>
      <c r="L244" s="23" t="inlineStr">
        <is>
          <t>2021-11-07</t>
        </is>
      </c>
      <c r="M244" s="23" t="n">
        <v>1533</v>
      </c>
      <c r="N244" s="23" t="n">
        <v>7.3</v>
      </c>
      <c r="O244" s="23" t="inlineStr">
        <is>
          <t>Bakımda</t>
        </is>
      </c>
    </row>
    <row r="245">
      <c r="A245" s="23" t="inlineStr">
        <is>
          <t>TC-LLI82</t>
        </is>
      </c>
      <c r="B245" s="23" t="inlineStr">
        <is>
          <t>Boeing 787-9</t>
        </is>
      </c>
      <c r="C245" s="23" t="inlineStr">
        <is>
          <t>WIDE</t>
        </is>
      </c>
      <c r="D245" s="23" t="inlineStr">
        <is>
          <t>2023-01-19</t>
        </is>
      </c>
      <c r="E245" s="23" t="n">
        <v>37460</v>
      </c>
      <c r="F245" s="23" t="n">
        <v>4834</v>
      </c>
      <c r="G245" s="23" t="inlineStr">
        <is>
          <t>C</t>
        </is>
      </c>
      <c r="H245" s="23" t="n">
        <v>1435</v>
      </c>
      <c r="I245" s="23" t="n">
        <v>1397</v>
      </c>
      <c r="J245" s="23" t="inlineStr">
        <is>
          <t>2024-07-01</t>
        </is>
      </c>
      <c r="K245" s="23" t="n">
        <v>566</v>
      </c>
      <c r="L245" s="23" t="inlineStr">
        <is>
          <t>2019-10-19</t>
        </is>
      </c>
      <c r="M245" s="23" t="n">
        <v>2283</v>
      </c>
      <c r="N245" s="23" t="n">
        <v>10.3</v>
      </c>
      <c r="O245" s="23" t="inlineStr">
        <is>
          <t>Aktif</t>
        </is>
      </c>
    </row>
    <row r="246">
      <c r="A246" s="23" t="inlineStr">
        <is>
          <t>TC-LLJ66</t>
        </is>
      </c>
      <c r="B246" s="23" t="inlineStr">
        <is>
          <t>Boeing 787-9</t>
        </is>
      </c>
      <c r="C246" s="23" t="inlineStr">
        <is>
          <t>WIDE</t>
        </is>
      </c>
      <c r="D246" s="23" t="inlineStr">
        <is>
          <t>2018-01-20</t>
        </is>
      </c>
      <c r="E246" s="23" t="n">
        <v>40805</v>
      </c>
      <c r="F246" s="23" t="n">
        <v>6697</v>
      </c>
      <c r="G246" s="23" t="inlineStr">
        <is>
          <t>A</t>
        </is>
      </c>
      <c r="H246" s="23" t="n">
        <v>303</v>
      </c>
      <c r="I246" s="23" t="n">
        <v>182</v>
      </c>
      <c r="J246" s="23" t="inlineStr">
        <is>
          <t>2025-12-06</t>
        </is>
      </c>
      <c r="K246" s="23" t="n">
        <v>43</v>
      </c>
      <c r="L246" s="23" t="inlineStr">
        <is>
          <t>2022-11-13</t>
        </is>
      </c>
      <c r="M246" s="23" t="n">
        <v>1162</v>
      </c>
      <c r="N246" s="23" t="n">
        <v>8.800000000000001</v>
      </c>
      <c r="O246" s="23" t="inlineStr">
        <is>
          <t>Aktif</t>
        </is>
      </c>
    </row>
    <row r="247">
      <c r="A247" s="23" t="inlineStr">
        <is>
          <t>TC-LLK66</t>
        </is>
      </c>
      <c r="B247" s="23" t="inlineStr">
        <is>
          <t>Boeing 787-9</t>
        </is>
      </c>
      <c r="C247" s="23" t="inlineStr">
        <is>
          <t>WIDE</t>
        </is>
      </c>
      <c r="D247" s="23" t="inlineStr">
        <is>
          <t>2021-01-19</t>
        </is>
      </c>
      <c r="E247" s="23" t="n">
        <v>12693</v>
      </c>
      <c r="F247" s="23" t="n">
        <v>1429</v>
      </c>
      <c r="G247" s="23" t="inlineStr">
        <is>
          <t>A</t>
        </is>
      </c>
      <c r="H247" s="23" t="n">
        <v>409</v>
      </c>
      <c r="I247" s="23" t="n">
        <v>342</v>
      </c>
      <c r="J247" s="23" t="inlineStr">
        <is>
          <t>2024-10-27</t>
        </is>
      </c>
      <c r="K247" s="23" t="n">
        <v>448</v>
      </c>
      <c r="L247" s="23" t="inlineStr">
        <is>
          <t>2024-08-14</t>
        </is>
      </c>
      <c r="M247" s="23" t="n">
        <v>522</v>
      </c>
      <c r="N247" s="23" t="n">
        <v>7.1</v>
      </c>
      <c r="O247" s="23" t="inlineStr">
        <is>
          <t>Aktif</t>
        </is>
      </c>
    </row>
    <row r="248">
      <c r="A248" s="23" t="inlineStr">
        <is>
          <t>TC-LLL36</t>
        </is>
      </c>
      <c r="B248" s="23" t="inlineStr">
        <is>
          <t>Boeing 787-9</t>
        </is>
      </c>
      <c r="C248" s="23" t="inlineStr">
        <is>
          <t>WIDE</t>
        </is>
      </c>
      <c r="D248" s="23" t="inlineStr">
        <is>
          <t>2016-01-21</t>
        </is>
      </c>
      <c r="E248" s="23" t="n">
        <v>8890</v>
      </c>
      <c r="F248" s="23" t="n">
        <v>1132</v>
      </c>
      <c r="G248" s="23" t="inlineStr">
        <is>
          <t>B</t>
        </is>
      </c>
      <c r="H248" s="23" t="n">
        <v>1322</v>
      </c>
      <c r="I248" s="23" t="n">
        <v>1183</v>
      </c>
      <c r="J248" s="23" t="inlineStr">
        <is>
          <t>2025-07-20</t>
        </is>
      </c>
      <c r="K248" s="23" t="n">
        <v>182</v>
      </c>
      <c r="L248" s="23" t="inlineStr">
        <is>
          <t>2023-07-23</t>
        </is>
      </c>
      <c r="M248" s="23" t="n">
        <v>910</v>
      </c>
      <c r="N248" s="23" t="n">
        <v>8.300000000000001</v>
      </c>
      <c r="O248" s="23" t="inlineStr">
        <is>
          <t>Aktif</t>
        </is>
      </c>
    </row>
    <row r="249">
      <c r="A249" s="23" t="inlineStr">
        <is>
          <t>TC-LLM75</t>
        </is>
      </c>
      <c r="B249" s="23" t="inlineStr">
        <is>
          <t>Boeing 787-9</t>
        </is>
      </c>
      <c r="C249" s="23" t="inlineStr">
        <is>
          <t>WIDE</t>
        </is>
      </c>
      <c r="D249" s="23" t="inlineStr">
        <is>
          <t>2022-01-19</t>
        </is>
      </c>
      <c r="E249" s="23" t="n">
        <v>49518</v>
      </c>
      <c r="F249" s="23" t="n">
        <v>5455</v>
      </c>
      <c r="G249" s="23" t="inlineStr">
        <is>
          <t>B</t>
        </is>
      </c>
      <c r="H249" s="23" t="n">
        <v>1981</v>
      </c>
      <c r="I249" s="23" t="n">
        <v>201</v>
      </c>
      <c r="J249" s="23" t="inlineStr">
        <is>
          <t>2025-03-31</t>
        </is>
      </c>
      <c r="K249" s="23" t="n">
        <v>293</v>
      </c>
      <c r="L249" s="23" t="inlineStr">
        <is>
          <t>2019-08-06</t>
        </is>
      </c>
      <c r="M249" s="23" t="n">
        <v>2357</v>
      </c>
      <c r="N249" s="23" t="n">
        <v>7</v>
      </c>
      <c r="O249" s="23" t="inlineStr">
        <is>
          <t>Aktif</t>
        </is>
      </c>
    </row>
    <row r="250">
      <c r="A250" s="23" t="inlineStr">
        <is>
          <t>TC-LLN41</t>
        </is>
      </c>
      <c r="B250" s="23" t="inlineStr">
        <is>
          <t>Boeing 787-9</t>
        </is>
      </c>
      <c r="C250" s="23" t="inlineStr">
        <is>
          <t>WIDE</t>
        </is>
      </c>
      <c r="D250" s="23" t="inlineStr">
        <is>
          <t>2011-01-22</t>
        </is>
      </c>
      <c r="E250" s="23" t="n">
        <v>14584</v>
      </c>
      <c r="F250" s="23" t="n">
        <v>1704</v>
      </c>
      <c r="G250" s="23" t="inlineStr">
        <is>
          <t>A</t>
        </is>
      </c>
      <c r="H250" s="23" t="n">
        <v>452</v>
      </c>
      <c r="I250" s="23" t="n">
        <v>280</v>
      </c>
      <c r="J250" s="23" t="inlineStr">
        <is>
          <t>2025-08-16</t>
        </is>
      </c>
      <c r="K250" s="23" t="n">
        <v>155</v>
      </c>
      <c r="L250" s="23" t="inlineStr">
        <is>
          <t>2021-08-11</t>
        </is>
      </c>
      <c r="M250" s="23" t="n">
        <v>1621</v>
      </c>
      <c r="N250" s="23" t="n">
        <v>8.1</v>
      </c>
      <c r="O250" s="23" t="inlineStr">
        <is>
          <t>Bakımda</t>
        </is>
      </c>
    </row>
    <row r="251">
      <c r="A251" s="23" t="inlineStr">
        <is>
          <t>TC-LLO58</t>
        </is>
      </c>
      <c r="B251" s="23" t="inlineStr">
        <is>
          <t>Boeing 787-9</t>
        </is>
      </c>
      <c r="C251" s="23" t="inlineStr">
        <is>
          <t>WIDE</t>
        </is>
      </c>
      <c r="D251" s="23" t="inlineStr">
        <is>
          <t>2012-01-22</t>
        </is>
      </c>
      <c r="E251" s="23" t="n">
        <v>34621</v>
      </c>
      <c r="F251" s="23" t="n">
        <v>6438</v>
      </c>
      <c r="G251" s="23" t="inlineStr">
        <is>
          <t>A</t>
        </is>
      </c>
      <c r="H251" s="23" t="n">
        <v>462</v>
      </c>
      <c r="I251" s="23" t="n">
        <v>293</v>
      </c>
      <c r="J251" s="23" t="inlineStr">
        <is>
          <t>2025-03-30</t>
        </is>
      </c>
      <c r="K251" s="23" t="n">
        <v>294</v>
      </c>
      <c r="L251" s="23" t="inlineStr">
        <is>
          <t>2020-10-17</t>
        </is>
      </c>
      <c r="M251" s="23" t="n">
        <v>1919</v>
      </c>
      <c r="N251" s="23" t="n">
        <v>9.6</v>
      </c>
      <c r="O251" s="23" t="inlineStr">
        <is>
          <t>Bakımda</t>
        </is>
      </c>
    </row>
    <row r="252">
      <c r="A252" s="23" t="inlineStr">
        <is>
          <t>TC-LLP51</t>
        </is>
      </c>
      <c r="B252" s="23" t="inlineStr">
        <is>
          <t>Boeing 787-9</t>
        </is>
      </c>
      <c r="C252" s="23" t="inlineStr">
        <is>
          <t>WIDE</t>
        </is>
      </c>
      <c r="D252" s="23" t="inlineStr">
        <is>
          <t>2012-01-22</t>
        </is>
      </c>
      <c r="E252" s="23" t="n">
        <v>43139</v>
      </c>
      <c r="F252" s="23" t="n">
        <v>8606</v>
      </c>
      <c r="G252" s="23" t="inlineStr">
        <is>
          <t>C</t>
        </is>
      </c>
      <c r="H252" s="23" t="n">
        <v>1263</v>
      </c>
      <c r="I252" s="23" t="n">
        <v>3293</v>
      </c>
      <c r="J252" s="23" t="inlineStr">
        <is>
          <t>2024-09-26</t>
        </is>
      </c>
      <c r="K252" s="23" t="n">
        <v>479</v>
      </c>
      <c r="L252" s="23" t="inlineStr">
        <is>
          <t>2020-08-02</t>
        </is>
      </c>
      <c r="M252" s="23" t="n">
        <v>1995</v>
      </c>
      <c r="N252" s="23" t="n">
        <v>11.6</v>
      </c>
      <c r="O252" s="23" t="inlineStr">
        <is>
          <t>Aktif</t>
        </is>
      </c>
    </row>
    <row r="253">
      <c r="A253" s="23" t="inlineStr">
        <is>
          <t>TC-LLQ78</t>
        </is>
      </c>
      <c r="B253" s="23" t="inlineStr">
        <is>
          <t>Boeing 787-9</t>
        </is>
      </c>
      <c r="C253" s="23" t="inlineStr">
        <is>
          <t>WIDE</t>
        </is>
      </c>
      <c r="D253" s="23" t="inlineStr">
        <is>
          <t>2018-01-20</t>
        </is>
      </c>
      <c r="E253" s="23" t="n">
        <v>31064</v>
      </c>
      <c r="F253" s="23" t="n">
        <v>5101</v>
      </c>
      <c r="G253" s="23" t="inlineStr">
        <is>
          <t>A</t>
        </is>
      </c>
      <c r="H253" s="23" t="n">
        <v>556</v>
      </c>
      <c r="I253" s="23" t="n">
        <v>167</v>
      </c>
      <c r="J253" s="23" t="inlineStr">
        <is>
          <t>2025-02-12</t>
        </is>
      </c>
      <c r="K253" s="23" t="n">
        <v>340</v>
      </c>
      <c r="L253" s="23" t="inlineStr">
        <is>
          <t>2019-11-09</t>
        </is>
      </c>
      <c r="M253" s="23" t="n">
        <v>2262</v>
      </c>
      <c r="N253" s="23" t="n">
        <v>8.699999999999999</v>
      </c>
      <c r="O253" s="23" t="inlineStr">
        <is>
          <t>Aktif</t>
        </is>
      </c>
    </row>
    <row r="254">
      <c r="A254" s="23" t="inlineStr">
        <is>
          <t>TC-LLR82</t>
        </is>
      </c>
      <c r="B254" s="23" t="inlineStr">
        <is>
          <t>Boeing 787-9</t>
        </is>
      </c>
      <c r="C254" s="23" t="inlineStr">
        <is>
          <t>WIDE</t>
        </is>
      </c>
      <c r="D254" s="23" t="inlineStr">
        <is>
          <t>2014-01-21</t>
        </is>
      </c>
      <c r="E254" s="23" t="n">
        <v>36807</v>
      </c>
      <c r="F254" s="23" t="n">
        <v>4116</v>
      </c>
      <c r="G254" s="23" t="inlineStr">
        <is>
          <t>A</t>
        </is>
      </c>
      <c r="H254" s="23" t="n">
        <v>97</v>
      </c>
      <c r="I254" s="23" t="n">
        <v>80</v>
      </c>
      <c r="J254" s="23" t="inlineStr">
        <is>
          <t>2024-09-25</t>
        </is>
      </c>
      <c r="K254" s="23" t="n">
        <v>480</v>
      </c>
      <c r="L254" s="23" t="inlineStr">
        <is>
          <t>2025-12-18</t>
        </is>
      </c>
      <c r="M254" s="23" t="n">
        <v>31</v>
      </c>
      <c r="N254" s="23" t="n">
        <v>13.4</v>
      </c>
      <c r="O254" s="23" t="inlineStr">
        <is>
          <t>Aktif</t>
        </is>
      </c>
    </row>
    <row r="255">
      <c r="A255" s="23" t="inlineStr">
        <is>
          <t>TC-LLS66</t>
        </is>
      </c>
      <c r="B255" s="23" t="inlineStr">
        <is>
          <t>Boeing 787-9</t>
        </is>
      </c>
      <c r="C255" s="23" t="inlineStr">
        <is>
          <t>WIDE</t>
        </is>
      </c>
      <c r="D255" s="23" t="inlineStr">
        <is>
          <t>2018-01-20</t>
        </is>
      </c>
      <c r="E255" s="23" t="n">
        <v>34918</v>
      </c>
      <c r="F255" s="23" t="n">
        <v>6978</v>
      </c>
      <c r="G255" s="23" t="inlineStr">
        <is>
          <t>A</t>
        </is>
      </c>
      <c r="H255" s="23" t="n">
        <v>185</v>
      </c>
      <c r="I255" s="23" t="n">
        <v>362</v>
      </c>
      <c r="J255" s="23" t="inlineStr">
        <is>
          <t>2025-03-05</t>
        </is>
      </c>
      <c r="K255" s="23" t="n">
        <v>319</v>
      </c>
      <c r="L255" s="23" t="inlineStr">
        <is>
          <t>2024-11-09</t>
        </is>
      </c>
      <c r="M255" s="23" t="n">
        <v>435</v>
      </c>
      <c r="N255" s="23" t="n">
        <v>6.7</v>
      </c>
      <c r="O255" s="23" t="inlineStr">
        <is>
          <t>Aktif</t>
        </is>
      </c>
    </row>
    <row r="256">
      <c r="A256" s="23" t="inlineStr">
        <is>
          <t>TC-LLT42</t>
        </is>
      </c>
      <c r="B256" s="23" t="inlineStr">
        <is>
          <t>Boeing 787-9</t>
        </is>
      </c>
      <c r="C256" s="23" t="inlineStr">
        <is>
          <t>WIDE</t>
        </is>
      </c>
      <c r="D256" s="23" t="inlineStr">
        <is>
          <t>2014-01-21</t>
        </is>
      </c>
      <c r="E256" s="23" t="n">
        <v>10401</v>
      </c>
      <c r="F256" s="23" t="n">
        <v>1516</v>
      </c>
      <c r="G256" s="23" t="inlineStr">
        <is>
          <t>A</t>
        </is>
      </c>
      <c r="H256" s="23" t="n">
        <v>103</v>
      </c>
      <c r="I256" s="23" t="n">
        <v>232</v>
      </c>
      <c r="J256" s="23" t="inlineStr">
        <is>
          <t>2025-03-02</t>
        </is>
      </c>
      <c r="K256" s="23" t="n">
        <v>322</v>
      </c>
      <c r="L256" s="23" t="inlineStr">
        <is>
          <t>2020-07-24</t>
        </is>
      </c>
      <c r="M256" s="23" t="n">
        <v>2004</v>
      </c>
      <c r="N256" s="23" t="n">
        <v>12</v>
      </c>
      <c r="O256" s="23" t="inlineStr">
        <is>
          <t>Bakımda</t>
        </is>
      </c>
    </row>
    <row r="257">
      <c r="A257" s="23" t="inlineStr">
        <is>
          <t>TC-LLU93</t>
        </is>
      </c>
      <c r="B257" s="23" t="inlineStr">
        <is>
          <t>Boeing 787-9</t>
        </is>
      </c>
      <c r="C257" s="23" t="inlineStr">
        <is>
          <t>WIDE</t>
        </is>
      </c>
      <c r="D257" s="23" t="inlineStr">
        <is>
          <t>2024-01-19</t>
        </is>
      </c>
      <c r="E257" s="23" t="n">
        <v>10976</v>
      </c>
      <c r="F257" s="23" t="n">
        <v>1288</v>
      </c>
      <c r="G257" s="23" t="inlineStr">
        <is>
          <t>A</t>
        </is>
      </c>
      <c r="H257" s="23" t="n">
        <v>538</v>
      </c>
      <c r="I257" s="23" t="n">
        <v>69</v>
      </c>
      <c r="J257" s="23" t="inlineStr">
        <is>
          <t>2025-08-26</t>
        </is>
      </c>
      <c r="K257" s="23" t="n">
        <v>145</v>
      </c>
      <c r="L257" s="23" t="inlineStr">
        <is>
          <t>2021-11-23</t>
        </is>
      </c>
      <c r="M257" s="23" t="n">
        <v>1517</v>
      </c>
      <c r="N257" s="23" t="n">
        <v>10.2</v>
      </c>
      <c r="O257" s="23" t="inlineStr">
        <is>
          <t>Bakımda</t>
        </is>
      </c>
    </row>
    <row r="258">
      <c r="A258" s="23" t="inlineStr">
        <is>
          <t>TC-LLV11</t>
        </is>
      </c>
      <c r="B258" s="23" t="inlineStr">
        <is>
          <t>Boeing 787-9</t>
        </is>
      </c>
      <c r="C258" s="23" t="inlineStr">
        <is>
          <t>WIDE</t>
        </is>
      </c>
      <c r="D258" s="23" t="inlineStr">
        <is>
          <t>2011-01-22</t>
        </is>
      </c>
      <c r="E258" s="23" t="n">
        <v>5528</v>
      </c>
      <c r="F258" s="23" t="n">
        <v>652</v>
      </c>
      <c r="G258" s="23" t="inlineStr">
        <is>
          <t>A</t>
        </is>
      </c>
      <c r="H258" s="23" t="n">
        <v>482</v>
      </c>
      <c r="I258" s="23" t="n">
        <v>97</v>
      </c>
      <c r="J258" s="23" t="inlineStr">
        <is>
          <t>2024-09-06</t>
        </is>
      </c>
      <c r="K258" s="23" t="n">
        <v>499</v>
      </c>
      <c r="L258" s="23" t="inlineStr">
        <is>
          <t>2025-11-21</t>
        </is>
      </c>
      <c r="M258" s="23" t="n">
        <v>58</v>
      </c>
      <c r="N258" s="23" t="n">
        <v>9.1</v>
      </c>
      <c r="O258" s="23" t="inlineStr">
        <is>
          <t>Aktif</t>
        </is>
      </c>
    </row>
    <row r="259">
      <c r="A259" s="23" t="inlineStr">
        <is>
          <t>TC-LLW23</t>
        </is>
      </c>
      <c r="B259" s="23" t="inlineStr">
        <is>
          <t>Boeing 787-9</t>
        </is>
      </c>
      <c r="C259" s="23" t="inlineStr">
        <is>
          <t>WIDE</t>
        </is>
      </c>
      <c r="D259" s="23" t="inlineStr">
        <is>
          <t>2020-01-20</t>
        </is>
      </c>
      <c r="E259" s="23" t="n">
        <v>25535</v>
      </c>
      <c r="F259" s="23" t="n">
        <v>3734</v>
      </c>
      <c r="G259" s="23" t="inlineStr">
        <is>
          <t>A</t>
        </is>
      </c>
      <c r="H259" s="23" t="n">
        <v>441</v>
      </c>
      <c r="I259" s="23" t="n">
        <v>98</v>
      </c>
      <c r="J259" s="23" t="inlineStr">
        <is>
          <t>2025-08-15</t>
        </is>
      </c>
      <c r="K259" s="23" t="n">
        <v>156</v>
      </c>
      <c r="L259" s="23" t="inlineStr">
        <is>
          <t>2025-09-05</t>
        </is>
      </c>
      <c r="M259" s="23" t="n">
        <v>135</v>
      </c>
      <c r="N259" s="23" t="n">
        <v>10.5</v>
      </c>
      <c r="O259" s="23" t="inlineStr">
        <is>
          <t>Aktif</t>
        </is>
      </c>
    </row>
    <row r="260">
      <c r="A260" s="23" t="inlineStr">
        <is>
          <t>TC-LLX66</t>
        </is>
      </c>
      <c r="B260" s="23" t="inlineStr">
        <is>
          <t>Boeing 787-9</t>
        </is>
      </c>
      <c r="C260" s="23" t="inlineStr">
        <is>
          <t>WIDE</t>
        </is>
      </c>
      <c r="D260" s="23" t="inlineStr">
        <is>
          <t>2014-01-21</t>
        </is>
      </c>
      <c r="E260" s="23" t="n">
        <v>28015</v>
      </c>
      <c r="F260" s="23" t="n">
        <v>3252</v>
      </c>
      <c r="G260" s="23" t="inlineStr">
        <is>
          <t>C</t>
        </is>
      </c>
      <c r="H260" s="23" t="n">
        <v>1740</v>
      </c>
      <c r="I260" s="23" t="n">
        <v>1986</v>
      </c>
      <c r="J260" s="23" t="inlineStr">
        <is>
          <t>2024-10-12</t>
        </is>
      </c>
      <c r="K260" s="23" t="n">
        <v>463</v>
      </c>
      <c r="L260" s="23" t="inlineStr">
        <is>
          <t>2019-11-26</t>
        </is>
      </c>
      <c r="M260" s="23" t="n">
        <v>2245</v>
      </c>
      <c r="N260" s="23" t="n">
        <v>6.7</v>
      </c>
      <c r="O260" s="23" t="inlineStr">
        <is>
          <t>Aktif</t>
        </is>
      </c>
    </row>
    <row r="261">
      <c r="A261" s="23" t="inlineStr">
        <is>
          <t>TC-LTB17</t>
        </is>
      </c>
      <c r="B261" s="23" t="inlineStr">
        <is>
          <t>Airbus A321 NEO</t>
        </is>
      </c>
      <c r="C261" s="23" t="inlineStr">
        <is>
          <t>NARROW</t>
        </is>
      </c>
      <c r="D261" s="23" t="inlineStr">
        <is>
          <t>2018-01-20</t>
        </is>
      </c>
      <c r="E261" s="23" t="n">
        <v>15555</v>
      </c>
      <c r="F261" s="23" t="n">
        <v>4913</v>
      </c>
      <c r="G261" s="23" t="inlineStr">
        <is>
          <t>C</t>
        </is>
      </c>
      <c r="H261" s="23" t="n">
        <v>660</v>
      </c>
      <c r="I261" s="23" t="n">
        <v>3435</v>
      </c>
      <c r="J261" s="23" t="inlineStr">
        <is>
          <t>2024-05-29</t>
        </is>
      </c>
      <c r="K261" s="23" t="n">
        <v>599</v>
      </c>
      <c r="L261" s="23" t="inlineStr">
        <is>
          <t>2022-09-19</t>
        </is>
      </c>
      <c r="M261" s="23" t="n">
        <v>1217</v>
      </c>
      <c r="N261" s="23" t="n">
        <v>6</v>
      </c>
      <c r="O261" s="23" t="inlineStr">
        <is>
          <t>Aktif</t>
        </is>
      </c>
    </row>
    <row r="262">
      <c r="A262" s="23" t="inlineStr">
        <is>
          <t>TC-LTC48</t>
        </is>
      </c>
      <c r="B262" s="23" t="inlineStr">
        <is>
          <t>Airbus A321 NEO</t>
        </is>
      </c>
      <c r="C262" s="23" t="inlineStr">
        <is>
          <t>NARROW</t>
        </is>
      </c>
      <c r="D262" s="23" t="inlineStr">
        <is>
          <t>2011-01-22</t>
        </is>
      </c>
      <c r="E262" s="23" t="n">
        <v>27558</v>
      </c>
      <c r="F262" s="23" t="n">
        <v>8593</v>
      </c>
      <c r="G262" s="23" t="inlineStr">
        <is>
          <t>B</t>
        </is>
      </c>
      <c r="H262" s="23" t="n">
        <v>1202</v>
      </c>
      <c r="I262" s="23" t="n">
        <v>1198</v>
      </c>
      <c r="J262" s="23" t="inlineStr">
        <is>
          <t>2025-05-28</t>
        </is>
      </c>
      <c r="K262" s="23" t="n">
        <v>235</v>
      </c>
      <c r="L262" s="23" t="inlineStr">
        <is>
          <t>2022-11-24</t>
        </is>
      </c>
      <c r="M262" s="23" t="n">
        <v>1151</v>
      </c>
      <c r="N262" s="23" t="n">
        <v>8.199999999999999</v>
      </c>
      <c r="O262" s="23" t="inlineStr">
        <is>
          <t>Bakımda</t>
        </is>
      </c>
    </row>
    <row r="263">
      <c r="A263" s="23" t="inlineStr">
        <is>
          <t>TC-LTD13</t>
        </is>
      </c>
      <c r="B263" s="23" t="inlineStr">
        <is>
          <t>Airbus A321 NEO</t>
        </is>
      </c>
      <c r="C263" s="23" t="inlineStr">
        <is>
          <t>NARROW</t>
        </is>
      </c>
      <c r="D263" s="23" t="inlineStr">
        <is>
          <t>2014-01-21</t>
        </is>
      </c>
      <c r="E263" s="23" t="n">
        <v>27484</v>
      </c>
      <c r="F263" s="23" t="n">
        <v>12652</v>
      </c>
      <c r="G263" s="23" t="inlineStr">
        <is>
          <t>B</t>
        </is>
      </c>
      <c r="H263" s="23" t="n">
        <v>1583</v>
      </c>
      <c r="I263" s="23" t="n">
        <v>418</v>
      </c>
      <c r="J263" s="23" t="inlineStr">
        <is>
          <t>2024-09-17</t>
        </is>
      </c>
      <c r="K263" s="23" t="n">
        <v>488</v>
      </c>
      <c r="L263" s="23" t="inlineStr">
        <is>
          <t>2024-08-12</t>
        </is>
      </c>
      <c r="M263" s="23" t="n">
        <v>524</v>
      </c>
      <c r="N263" s="23" t="n">
        <v>10.3</v>
      </c>
      <c r="O263" s="23" t="inlineStr">
        <is>
          <t>Bakımda</t>
        </is>
      </c>
    </row>
    <row r="264">
      <c r="A264" s="23" t="inlineStr">
        <is>
          <t>TC-LTE85</t>
        </is>
      </c>
      <c r="B264" s="23" t="inlineStr">
        <is>
          <t>Airbus A321 NEO</t>
        </is>
      </c>
      <c r="C264" s="23" t="inlineStr">
        <is>
          <t>NARROW</t>
        </is>
      </c>
      <c r="D264" s="23" t="inlineStr">
        <is>
          <t>2018-01-20</t>
        </is>
      </c>
      <c r="E264" s="23" t="n">
        <v>3776</v>
      </c>
      <c r="F264" s="23" t="n">
        <v>2263</v>
      </c>
      <c r="G264" s="23" t="inlineStr">
        <is>
          <t>A</t>
        </is>
      </c>
      <c r="H264" s="23" t="n">
        <v>522</v>
      </c>
      <c r="I264" s="23" t="n">
        <v>123</v>
      </c>
      <c r="J264" s="23" t="inlineStr">
        <is>
          <t>2025-11-18</t>
        </is>
      </c>
      <c r="K264" s="23" t="n">
        <v>61</v>
      </c>
      <c r="L264" s="23" t="inlineStr">
        <is>
          <t>2023-10-14</t>
        </is>
      </c>
      <c r="M264" s="23" t="n">
        <v>827</v>
      </c>
      <c r="N264" s="23" t="n">
        <v>8.6</v>
      </c>
      <c r="O264" s="23" t="inlineStr">
        <is>
          <t>Bakımda</t>
        </is>
      </c>
    </row>
    <row r="265">
      <c r="A265" s="23" t="inlineStr">
        <is>
          <t>TC-LTF51</t>
        </is>
      </c>
      <c r="B265" s="23" t="inlineStr">
        <is>
          <t>Airbus A321 NEO</t>
        </is>
      </c>
      <c r="C265" s="23" t="inlineStr">
        <is>
          <t>NARROW</t>
        </is>
      </c>
      <c r="D265" s="23" t="inlineStr">
        <is>
          <t>2018-01-20</t>
        </is>
      </c>
      <c r="E265" s="23" t="n">
        <v>24118</v>
      </c>
      <c r="F265" s="23" t="n">
        <v>7979</v>
      </c>
      <c r="G265" s="23" t="inlineStr">
        <is>
          <t>B</t>
        </is>
      </c>
      <c r="H265" s="23" t="n">
        <v>1640</v>
      </c>
      <c r="I265" s="23" t="n">
        <v>943</v>
      </c>
      <c r="J265" s="23" t="inlineStr">
        <is>
          <t>2025-04-25</t>
        </is>
      </c>
      <c r="K265" s="23" t="n">
        <v>268</v>
      </c>
      <c r="L265" s="23" t="inlineStr">
        <is>
          <t>2019-12-31</t>
        </is>
      </c>
      <c r="M265" s="23" t="n">
        <v>2210</v>
      </c>
      <c r="N265" s="23" t="n">
        <v>9.800000000000001</v>
      </c>
      <c r="O265" s="23" t="inlineStr">
        <is>
          <t>Aktif</t>
        </is>
      </c>
    </row>
    <row r="266">
      <c r="A266" s="23" t="inlineStr">
        <is>
          <t>TC-LTG54</t>
        </is>
      </c>
      <c r="B266" s="23" t="inlineStr">
        <is>
          <t>Airbus A321 NEO</t>
        </is>
      </c>
      <c r="C266" s="23" t="inlineStr">
        <is>
          <t>NARROW</t>
        </is>
      </c>
      <c r="D266" s="23" t="inlineStr">
        <is>
          <t>2012-01-22</t>
        </is>
      </c>
      <c r="E266" s="23" t="n">
        <v>16694</v>
      </c>
      <c r="F266" s="23" t="n">
        <v>5961</v>
      </c>
      <c r="G266" s="23" t="inlineStr">
        <is>
          <t>C</t>
        </is>
      </c>
      <c r="H266" s="23" t="n">
        <v>829</v>
      </c>
      <c r="I266" s="23" t="n">
        <v>3389</v>
      </c>
      <c r="J266" s="23" t="inlineStr">
        <is>
          <t>2025-12-08</t>
        </is>
      </c>
      <c r="K266" s="23" t="n">
        <v>41</v>
      </c>
      <c r="L266" s="23" t="inlineStr">
        <is>
          <t>2024-11-28</t>
        </is>
      </c>
      <c r="M266" s="23" t="n">
        <v>416</v>
      </c>
      <c r="N266" s="23" t="n">
        <v>12.7</v>
      </c>
      <c r="O266" s="23" t="inlineStr">
        <is>
          <t>Aktif</t>
        </is>
      </c>
    </row>
    <row r="267">
      <c r="A267" s="23" t="inlineStr">
        <is>
          <t>TC-LTH40</t>
        </is>
      </c>
      <c r="B267" s="23" t="inlineStr">
        <is>
          <t>Airbus A321 NEO</t>
        </is>
      </c>
      <c r="C267" s="23" t="inlineStr">
        <is>
          <t>NARROW</t>
        </is>
      </c>
      <c r="D267" s="23" t="inlineStr">
        <is>
          <t>2023-01-19</t>
        </is>
      </c>
      <c r="E267" s="23" t="n">
        <v>10272</v>
      </c>
      <c r="F267" s="23" t="n">
        <v>4197</v>
      </c>
      <c r="G267" s="23" t="inlineStr">
        <is>
          <t>C</t>
        </is>
      </c>
      <c r="H267" s="23" t="n">
        <v>2285</v>
      </c>
      <c r="I267" s="23" t="n">
        <v>2204</v>
      </c>
      <c r="J267" s="23" t="inlineStr">
        <is>
          <t>2025-04-21</t>
        </is>
      </c>
      <c r="K267" s="23" t="n">
        <v>272</v>
      </c>
      <c r="L267" s="23" t="inlineStr">
        <is>
          <t>2019-10-18</t>
        </is>
      </c>
      <c r="M267" s="23" t="n">
        <v>2284</v>
      </c>
      <c r="N267" s="23" t="n">
        <v>7.3</v>
      </c>
      <c r="O267" s="23" t="inlineStr">
        <is>
          <t>Aktif</t>
        </is>
      </c>
    </row>
    <row r="268">
      <c r="A268" s="23" t="inlineStr">
        <is>
          <t>TC-LTI30</t>
        </is>
      </c>
      <c r="B268" s="23" t="inlineStr">
        <is>
          <t>Airbus A321 NEO</t>
        </is>
      </c>
      <c r="C268" s="23" t="inlineStr">
        <is>
          <t>NARROW</t>
        </is>
      </c>
      <c r="D268" s="23" t="inlineStr">
        <is>
          <t>2024-01-19</t>
        </is>
      </c>
      <c r="E268" s="23" t="n">
        <v>22384</v>
      </c>
      <c r="F268" s="23" t="n">
        <v>13042</v>
      </c>
      <c r="G268" s="23" t="inlineStr">
        <is>
          <t>B</t>
        </is>
      </c>
      <c r="H268" s="23" t="n">
        <v>1279</v>
      </c>
      <c r="I268" s="23" t="n">
        <v>848</v>
      </c>
      <c r="J268" s="23" t="inlineStr">
        <is>
          <t>2024-11-28</t>
        </is>
      </c>
      <c r="K268" s="23" t="n">
        <v>416</v>
      </c>
      <c r="L268" s="23" t="inlineStr">
        <is>
          <t>2020-11-30</t>
        </is>
      </c>
      <c r="M268" s="23" t="n">
        <v>1875</v>
      </c>
      <c r="N268" s="23" t="n">
        <v>6.6</v>
      </c>
      <c r="O268" s="23" t="inlineStr">
        <is>
          <t>Aktif</t>
        </is>
      </c>
    </row>
    <row r="269">
      <c r="A269" s="23" t="inlineStr">
        <is>
          <t>TC-LTJ23</t>
        </is>
      </c>
      <c r="B269" s="23" t="inlineStr">
        <is>
          <t>Airbus A321 NEO</t>
        </is>
      </c>
      <c r="C269" s="23" t="inlineStr">
        <is>
          <t>NARROW</t>
        </is>
      </c>
      <c r="D269" s="23" t="inlineStr">
        <is>
          <t>2015-01-21</t>
        </is>
      </c>
      <c r="E269" s="23" t="n">
        <v>21764</v>
      </c>
      <c r="F269" s="23" t="n">
        <v>6800</v>
      </c>
      <c r="G269" s="23" t="inlineStr">
        <is>
          <t>A</t>
        </is>
      </c>
      <c r="H269" s="23" t="n">
        <v>92</v>
      </c>
      <c r="I269" s="23" t="n">
        <v>207</v>
      </c>
      <c r="J269" s="23" t="inlineStr">
        <is>
          <t>2024-07-12</t>
        </is>
      </c>
      <c r="K269" s="23" t="n">
        <v>555</v>
      </c>
      <c r="L269" s="23" t="inlineStr">
        <is>
          <t>2022-08-03</t>
        </is>
      </c>
      <c r="M269" s="23" t="n">
        <v>1264</v>
      </c>
      <c r="N269" s="23" t="n">
        <v>9</v>
      </c>
      <c r="O269" s="23" t="inlineStr">
        <is>
          <t>Aktif</t>
        </is>
      </c>
    </row>
    <row r="270">
      <c r="A270" s="23" t="inlineStr">
        <is>
          <t>TC-LTK11</t>
        </is>
      </c>
      <c r="B270" s="23" t="inlineStr">
        <is>
          <t>Airbus A321 NEO</t>
        </is>
      </c>
      <c r="C270" s="23" t="inlineStr">
        <is>
          <t>NARROW</t>
        </is>
      </c>
      <c r="D270" s="23" t="inlineStr">
        <is>
          <t>2023-01-19</t>
        </is>
      </c>
      <c r="E270" s="23" t="n">
        <v>29528</v>
      </c>
      <c r="F270" s="23" t="n">
        <v>9389</v>
      </c>
      <c r="G270" s="23" t="inlineStr">
        <is>
          <t>B</t>
        </is>
      </c>
      <c r="H270" s="23" t="n">
        <v>841</v>
      </c>
      <c r="I270" s="23" t="n">
        <v>1021</v>
      </c>
      <c r="J270" s="23" t="inlineStr">
        <is>
          <t>2025-08-05</t>
        </is>
      </c>
      <c r="K270" s="23" t="n">
        <v>166</v>
      </c>
      <c r="L270" s="23" t="inlineStr">
        <is>
          <t>2022-12-05</t>
        </is>
      </c>
      <c r="M270" s="23" t="n">
        <v>1140</v>
      </c>
      <c r="N270" s="23" t="n">
        <v>11.9</v>
      </c>
      <c r="O270" s="23" t="inlineStr">
        <is>
          <t>Aktif</t>
        </is>
      </c>
    </row>
    <row r="271">
      <c r="A271" s="23" t="inlineStr">
        <is>
          <t>TC-LTL88</t>
        </is>
      </c>
      <c r="B271" s="23" t="inlineStr">
        <is>
          <t>Airbus A321 NEO</t>
        </is>
      </c>
      <c r="C271" s="23" t="inlineStr">
        <is>
          <t>NARROW</t>
        </is>
      </c>
      <c r="D271" s="23" t="inlineStr">
        <is>
          <t>2011-01-22</t>
        </is>
      </c>
      <c r="E271" s="23" t="n">
        <v>33686</v>
      </c>
      <c r="F271" s="23" t="n">
        <v>13863</v>
      </c>
      <c r="G271" s="23" t="inlineStr">
        <is>
          <t>C</t>
        </is>
      </c>
      <c r="H271" s="23" t="n">
        <v>5353</v>
      </c>
      <c r="I271" s="23" t="n">
        <v>1399</v>
      </c>
      <c r="J271" s="23" t="inlineStr">
        <is>
          <t>2025-02-12</t>
        </is>
      </c>
      <c r="K271" s="23" t="n">
        <v>340</v>
      </c>
      <c r="L271" s="23" t="inlineStr">
        <is>
          <t>2019-11-19</t>
        </is>
      </c>
      <c r="M271" s="23" t="n">
        <v>2252</v>
      </c>
      <c r="N271" s="23" t="n">
        <v>12.6</v>
      </c>
      <c r="O271" s="23" t="inlineStr">
        <is>
          <t>Aktif</t>
        </is>
      </c>
    </row>
    <row r="272">
      <c r="A272" s="23" t="inlineStr">
        <is>
          <t>TC-LTM45</t>
        </is>
      </c>
      <c r="B272" s="23" t="inlineStr">
        <is>
          <t>Airbus A321 NEO</t>
        </is>
      </c>
      <c r="C272" s="23" t="inlineStr">
        <is>
          <t>NARROW</t>
        </is>
      </c>
      <c r="D272" s="23" t="inlineStr">
        <is>
          <t>2017-01-20</t>
        </is>
      </c>
      <c r="E272" s="23" t="n">
        <v>31543</v>
      </c>
      <c r="F272" s="23" t="n">
        <v>15868</v>
      </c>
      <c r="G272" s="23" t="inlineStr">
        <is>
          <t>C</t>
        </is>
      </c>
      <c r="H272" s="23" t="n">
        <v>5499</v>
      </c>
      <c r="I272" s="23" t="n">
        <v>3036</v>
      </c>
      <c r="J272" s="23" t="inlineStr">
        <is>
          <t>2024-12-16</t>
        </is>
      </c>
      <c r="K272" s="23" t="n">
        <v>398</v>
      </c>
      <c r="L272" s="23" t="inlineStr">
        <is>
          <t>2024-01-12</t>
        </is>
      </c>
      <c r="M272" s="23" t="n">
        <v>737</v>
      </c>
      <c r="N272" s="23" t="n">
        <v>10</v>
      </c>
      <c r="O272" s="23" t="inlineStr">
        <is>
          <t>Aktif</t>
        </is>
      </c>
    </row>
    <row r="273">
      <c r="A273" s="23" t="inlineStr">
        <is>
          <t>TC-LTN33</t>
        </is>
      </c>
      <c r="B273" s="23" t="inlineStr">
        <is>
          <t>Airbus A321 NEO</t>
        </is>
      </c>
      <c r="C273" s="23" t="inlineStr">
        <is>
          <t>NARROW</t>
        </is>
      </c>
      <c r="D273" s="23" t="inlineStr">
        <is>
          <t>2012-01-22</t>
        </is>
      </c>
      <c r="E273" s="23" t="n">
        <v>33952</v>
      </c>
      <c r="F273" s="23" t="n">
        <v>17644</v>
      </c>
      <c r="G273" s="23" t="inlineStr">
        <is>
          <t>B</t>
        </is>
      </c>
      <c r="H273" s="23" t="n">
        <v>797</v>
      </c>
      <c r="I273" s="23" t="n">
        <v>652</v>
      </c>
      <c r="J273" s="23" t="inlineStr">
        <is>
          <t>2025-04-01</t>
        </is>
      </c>
      <c r="K273" s="23" t="n">
        <v>292</v>
      </c>
      <c r="L273" s="23" t="inlineStr">
        <is>
          <t>2022-01-17</t>
        </is>
      </c>
      <c r="M273" s="23" t="n">
        <v>1462</v>
      </c>
      <c r="N273" s="23" t="n">
        <v>10.1</v>
      </c>
      <c r="O273" s="23" t="inlineStr">
        <is>
          <t>Aktif</t>
        </is>
      </c>
    </row>
    <row r="274">
      <c r="A274" s="23" t="inlineStr">
        <is>
          <t>TC-LTO20</t>
        </is>
      </c>
      <c r="B274" s="23" t="inlineStr">
        <is>
          <t>Airbus A321 NEO</t>
        </is>
      </c>
      <c r="C274" s="23" t="inlineStr">
        <is>
          <t>NARROW</t>
        </is>
      </c>
      <c r="D274" s="23" t="inlineStr">
        <is>
          <t>2017-01-20</t>
        </is>
      </c>
      <c r="E274" s="23" t="n">
        <v>17817</v>
      </c>
      <c r="F274" s="23" t="n">
        <v>6059</v>
      </c>
      <c r="G274" s="23" t="inlineStr">
        <is>
          <t>C</t>
        </is>
      </c>
      <c r="H274" s="23" t="n">
        <v>2468</v>
      </c>
      <c r="I274" s="23" t="n">
        <v>3128</v>
      </c>
      <c r="J274" s="23" t="inlineStr">
        <is>
          <t>2024-09-08</t>
        </is>
      </c>
      <c r="K274" s="23" t="n">
        <v>497</v>
      </c>
      <c r="L274" s="23" t="inlineStr">
        <is>
          <t>2020-09-16</t>
        </is>
      </c>
      <c r="M274" s="23" t="n">
        <v>1950</v>
      </c>
      <c r="N274" s="23" t="n">
        <v>9.6</v>
      </c>
      <c r="O274" s="23" t="inlineStr">
        <is>
          <t>Aktif</t>
        </is>
      </c>
    </row>
    <row r="275">
      <c r="A275" s="23" t="inlineStr">
        <is>
          <t>TC-LTP21</t>
        </is>
      </c>
      <c r="B275" s="23" t="inlineStr">
        <is>
          <t>Airbus A321 NEO</t>
        </is>
      </c>
      <c r="C275" s="23" t="inlineStr">
        <is>
          <t>NARROW</t>
        </is>
      </c>
      <c r="D275" s="23" t="inlineStr">
        <is>
          <t>2013-01-21</t>
        </is>
      </c>
      <c r="E275" s="23" t="n">
        <v>21283</v>
      </c>
      <c r="F275" s="23" t="n">
        <v>10952</v>
      </c>
      <c r="G275" s="23" t="inlineStr">
        <is>
          <t>A</t>
        </is>
      </c>
      <c r="H275" s="23" t="n">
        <v>363</v>
      </c>
      <c r="I275" s="23" t="n">
        <v>369</v>
      </c>
      <c r="J275" s="23" t="inlineStr">
        <is>
          <t>2024-12-27</t>
        </is>
      </c>
      <c r="K275" s="23" t="n">
        <v>387</v>
      </c>
      <c r="L275" s="23" t="inlineStr">
        <is>
          <t>2022-08-31</t>
        </is>
      </c>
      <c r="M275" s="23" t="n">
        <v>1236</v>
      </c>
      <c r="N275" s="23" t="n">
        <v>10.2</v>
      </c>
      <c r="O275" s="23" t="inlineStr">
        <is>
          <t>Bakımda</t>
        </is>
      </c>
    </row>
    <row r="276">
      <c r="A276" s="23" t="inlineStr">
        <is>
          <t>TC-NBB64</t>
        </is>
      </c>
      <c r="B276" s="23" t="inlineStr">
        <is>
          <t>Airbus A320 NEO</t>
        </is>
      </c>
      <c r="C276" s="23" t="inlineStr">
        <is>
          <t>NARROW</t>
        </is>
      </c>
      <c r="D276" s="23" t="inlineStr">
        <is>
          <t>2021-01-19</t>
        </is>
      </c>
      <c r="E276" s="23" t="n">
        <v>14025</v>
      </c>
      <c r="F276" s="23" t="n">
        <v>6817</v>
      </c>
      <c r="G276" s="23" t="inlineStr">
        <is>
          <t>A</t>
        </is>
      </c>
      <c r="H276" s="23" t="n">
        <v>503</v>
      </c>
      <c r="I276" s="23" t="n">
        <v>311</v>
      </c>
      <c r="J276" s="23" t="inlineStr">
        <is>
          <t>2025-09-30</t>
        </is>
      </c>
      <c r="K276" s="23" t="n">
        <v>110</v>
      </c>
      <c r="L276" s="23" t="inlineStr">
        <is>
          <t>2025-08-05</t>
        </is>
      </c>
      <c r="M276" s="23" t="n">
        <v>166</v>
      </c>
      <c r="N276" s="23" t="n">
        <v>14</v>
      </c>
      <c r="O276" s="23" t="inlineStr">
        <is>
          <t>Aktif</t>
        </is>
      </c>
    </row>
    <row r="277">
      <c r="A277" s="23" t="inlineStr">
        <is>
          <t>TC-NBC21</t>
        </is>
      </c>
      <c r="B277" s="23" t="inlineStr">
        <is>
          <t>Airbus A320 NEO</t>
        </is>
      </c>
      <c r="C277" s="23" t="inlineStr">
        <is>
          <t>NARROW</t>
        </is>
      </c>
      <c r="D277" s="23" t="inlineStr">
        <is>
          <t>2017-01-20</t>
        </is>
      </c>
      <c r="E277" s="23" t="n">
        <v>17491</v>
      </c>
      <c r="F277" s="23" t="n">
        <v>9544</v>
      </c>
      <c r="G277" s="23" t="inlineStr">
        <is>
          <t>B</t>
        </is>
      </c>
      <c r="H277" s="23" t="n">
        <v>537</v>
      </c>
      <c r="I277" s="23" t="n">
        <v>901</v>
      </c>
      <c r="J277" s="23" t="inlineStr">
        <is>
          <t>2025-11-09</t>
        </is>
      </c>
      <c r="K277" s="23" t="n">
        <v>70</v>
      </c>
      <c r="L277" s="23" t="inlineStr">
        <is>
          <t>2024-10-13</t>
        </is>
      </c>
      <c r="M277" s="23" t="n">
        <v>462</v>
      </c>
      <c r="N277" s="23" t="n">
        <v>6</v>
      </c>
      <c r="O277" s="23" t="inlineStr">
        <is>
          <t>Bakımda</t>
        </is>
      </c>
    </row>
    <row r="278">
      <c r="A278" s="23" t="inlineStr">
        <is>
          <t>TC-NBD43</t>
        </is>
      </c>
      <c r="B278" s="23" t="inlineStr">
        <is>
          <t>Airbus A320 NEO</t>
        </is>
      </c>
      <c r="C278" s="23" t="inlineStr">
        <is>
          <t>NARROW</t>
        </is>
      </c>
      <c r="D278" s="23" t="inlineStr">
        <is>
          <t>2013-01-21</t>
        </is>
      </c>
      <c r="E278" s="23" t="n">
        <v>31819</v>
      </c>
      <c r="F278" s="23" t="n">
        <v>15367</v>
      </c>
      <c r="G278" s="23" t="inlineStr">
        <is>
          <t>C</t>
        </is>
      </c>
      <c r="H278" s="23" t="n">
        <v>5052</v>
      </c>
      <c r="I278" s="23" t="n">
        <v>3011</v>
      </c>
      <c r="J278" s="23" t="inlineStr">
        <is>
          <t>2024-08-28</t>
        </is>
      </c>
      <c r="K278" s="23" t="n">
        <v>508</v>
      </c>
      <c r="L278" s="23" t="inlineStr">
        <is>
          <t>2024-12-01</t>
        </is>
      </c>
      <c r="M278" s="23" t="n">
        <v>413</v>
      </c>
      <c r="N278" s="23" t="n">
        <v>8.4</v>
      </c>
      <c r="O278" s="23" t="inlineStr">
        <is>
          <t>Aktif</t>
        </is>
      </c>
    </row>
    <row r="279">
      <c r="A279" s="23" t="inlineStr">
        <is>
          <t>TC-NBE84</t>
        </is>
      </c>
      <c r="B279" s="23" t="inlineStr">
        <is>
          <t>Airbus A320 NEO</t>
        </is>
      </c>
      <c r="C279" s="23" t="inlineStr">
        <is>
          <t>NARROW</t>
        </is>
      </c>
      <c r="D279" s="23" t="inlineStr">
        <is>
          <t>2024-01-19</t>
        </is>
      </c>
      <c r="E279" s="23" t="n">
        <v>5994</v>
      </c>
      <c r="F279" s="23" t="n">
        <v>2000</v>
      </c>
      <c r="G279" s="23" t="inlineStr">
        <is>
          <t>A</t>
        </is>
      </c>
      <c r="H279" s="23" t="n">
        <v>538</v>
      </c>
      <c r="I279" s="23" t="n">
        <v>287</v>
      </c>
      <c r="J279" s="23" t="inlineStr">
        <is>
          <t>2024-07-14</t>
        </is>
      </c>
      <c r="K279" s="23" t="n">
        <v>553</v>
      </c>
      <c r="L279" s="23" t="inlineStr">
        <is>
          <t>2025-01-04</t>
        </is>
      </c>
      <c r="M279" s="23" t="n">
        <v>379</v>
      </c>
      <c r="N279" s="23" t="n">
        <v>13.7</v>
      </c>
      <c r="O279" s="23" t="inlineStr">
        <is>
          <t>Aktif</t>
        </is>
      </c>
    </row>
    <row r="280">
      <c r="A280" s="23" t="inlineStr">
        <is>
          <t>TC-NBF33</t>
        </is>
      </c>
      <c r="B280" s="23" t="inlineStr">
        <is>
          <t>Airbus A320 NEO</t>
        </is>
      </c>
      <c r="C280" s="23" t="inlineStr">
        <is>
          <t>NARROW</t>
        </is>
      </c>
      <c r="D280" s="23" t="inlineStr">
        <is>
          <t>2014-01-21</t>
        </is>
      </c>
      <c r="E280" s="23" t="n">
        <v>6490</v>
      </c>
      <c r="F280" s="23" t="n">
        <v>2412</v>
      </c>
      <c r="G280" s="23" t="inlineStr">
        <is>
          <t>A</t>
        </is>
      </c>
      <c r="H280" s="23" t="n">
        <v>463</v>
      </c>
      <c r="I280" s="23" t="n">
        <v>91</v>
      </c>
      <c r="J280" s="23" t="inlineStr">
        <is>
          <t>2024-06-04</t>
        </is>
      </c>
      <c r="K280" s="23" t="n">
        <v>593</v>
      </c>
      <c r="L280" s="23" t="inlineStr">
        <is>
          <t>2024-08-23</t>
        </is>
      </c>
      <c r="M280" s="23" t="n">
        <v>513</v>
      </c>
      <c r="N280" s="23" t="n">
        <v>10.8</v>
      </c>
      <c r="O280" s="23" t="inlineStr">
        <is>
          <t>Aktif</t>
        </is>
      </c>
    </row>
    <row r="281">
      <c r="A281" s="23" t="inlineStr">
        <is>
          <t>TC-NBG63</t>
        </is>
      </c>
      <c r="B281" s="23" t="inlineStr">
        <is>
          <t>Airbus A320 NEO</t>
        </is>
      </c>
      <c r="C281" s="23" t="inlineStr">
        <is>
          <t>NARROW</t>
        </is>
      </c>
      <c r="D281" s="23" t="inlineStr">
        <is>
          <t>2021-01-19</t>
        </is>
      </c>
      <c r="E281" s="23" t="n">
        <v>22733</v>
      </c>
      <c r="F281" s="23" t="n">
        <v>6746</v>
      </c>
      <c r="G281" s="23" t="inlineStr">
        <is>
          <t>C</t>
        </is>
      </c>
      <c r="H281" s="23" t="n">
        <v>3073</v>
      </c>
      <c r="I281" s="23" t="n">
        <v>1277</v>
      </c>
      <c r="J281" s="23" t="inlineStr">
        <is>
          <t>2025-04-12</t>
        </is>
      </c>
      <c r="K281" s="23" t="n">
        <v>281</v>
      </c>
      <c r="L281" s="23" t="inlineStr">
        <is>
          <t>2022-12-17</t>
        </is>
      </c>
      <c r="M281" s="23" t="n">
        <v>1128</v>
      </c>
      <c r="N281" s="23" t="n">
        <v>11.4</v>
      </c>
      <c r="O281" s="23" t="inlineStr">
        <is>
          <t>Aktif</t>
        </is>
      </c>
    </row>
    <row r="282">
      <c r="A282" s="23" t="inlineStr">
        <is>
          <t>TC-NBH68</t>
        </is>
      </c>
      <c r="B282" s="23" t="inlineStr">
        <is>
          <t>Airbus A320 NEO</t>
        </is>
      </c>
      <c r="C282" s="23" t="inlineStr">
        <is>
          <t>NARROW</t>
        </is>
      </c>
      <c r="D282" s="23" t="inlineStr">
        <is>
          <t>2023-01-19</t>
        </is>
      </c>
      <c r="E282" s="23" t="n">
        <v>22720</v>
      </c>
      <c r="F282" s="23" t="n">
        <v>6765</v>
      </c>
      <c r="G282" s="23" t="inlineStr">
        <is>
          <t>A</t>
        </is>
      </c>
      <c r="H282" s="23" t="n">
        <v>519</v>
      </c>
      <c r="I282" s="23" t="n">
        <v>348</v>
      </c>
      <c r="J282" s="23" t="inlineStr">
        <is>
          <t>2024-06-11</t>
        </is>
      </c>
      <c r="K282" s="23" t="n">
        <v>586</v>
      </c>
      <c r="L282" s="23" t="inlineStr">
        <is>
          <t>2025-12-31</t>
        </is>
      </c>
      <c r="M282" s="23" t="n">
        <v>18</v>
      </c>
      <c r="N282" s="23" t="n">
        <v>10.3</v>
      </c>
      <c r="O282" s="23" t="inlineStr">
        <is>
          <t>Aktif</t>
        </is>
      </c>
    </row>
    <row r="283">
      <c r="A283" s="23" t="inlineStr">
        <is>
          <t>TC-NBI26</t>
        </is>
      </c>
      <c r="B283" s="23" t="inlineStr">
        <is>
          <t>Airbus A320 NEO</t>
        </is>
      </c>
      <c r="C283" s="23" t="inlineStr">
        <is>
          <t>NARROW</t>
        </is>
      </c>
      <c r="D283" s="23" t="inlineStr">
        <is>
          <t>2021-01-19</t>
        </is>
      </c>
      <c r="E283" s="23" t="n">
        <v>24872</v>
      </c>
      <c r="F283" s="23" t="n">
        <v>7625</v>
      </c>
      <c r="G283" s="23" t="inlineStr">
        <is>
          <t>B</t>
        </is>
      </c>
      <c r="H283" s="23" t="n">
        <v>683</v>
      </c>
      <c r="I283" s="23" t="n">
        <v>403</v>
      </c>
      <c r="J283" s="23" t="inlineStr">
        <is>
          <t>2024-10-17</t>
        </is>
      </c>
      <c r="K283" s="23" t="n">
        <v>458</v>
      </c>
      <c r="L283" s="23" t="inlineStr">
        <is>
          <t>2019-09-03</t>
        </is>
      </c>
      <c r="M283" s="23" t="n">
        <v>2329</v>
      </c>
      <c r="N283" s="23" t="n">
        <v>11.6</v>
      </c>
      <c r="O283" s="23" t="inlineStr">
        <is>
          <t>Aktif</t>
        </is>
      </c>
    </row>
    <row r="284">
      <c r="A284" s="23" t="inlineStr">
        <is>
          <t>TC-NBJ95</t>
        </is>
      </c>
      <c r="B284" s="23" t="inlineStr">
        <is>
          <t>Airbus A320 NEO</t>
        </is>
      </c>
      <c r="C284" s="23" t="inlineStr">
        <is>
          <t>NARROW</t>
        </is>
      </c>
      <c r="D284" s="23" t="inlineStr">
        <is>
          <t>2023-01-19</t>
        </is>
      </c>
      <c r="E284" s="23" t="n">
        <v>21620</v>
      </c>
      <c r="F284" s="23" t="n">
        <v>6427</v>
      </c>
      <c r="G284" s="23" t="inlineStr">
        <is>
          <t>A</t>
        </is>
      </c>
      <c r="H284" s="23" t="n">
        <v>320</v>
      </c>
      <c r="I284" s="23" t="n">
        <v>89</v>
      </c>
      <c r="J284" s="23" t="inlineStr">
        <is>
          <t>2025-09-21</t>
        </is>
      </c>
      <c r="K284" s="23" t="n">
        <v>119</v>
      </c>
      <c r="L284" s="23" t="inlineStr">
        <is>
          <t>2020-08-31</t>
        </is>
      </c>
      <c r="M284" s="23" t="n">
        <v>1966</v>
      </c>
      <c r="N284" s="23" t="n">
        <v>7.2</v>
      </c>
      <c r="O284" s="23" t="inlineStr">
        <is>
          <t>Aktif</t>
        </is>
      </c>
    </row>
    <row r="285">
      <c r="A285" s="23" t="inlineStr">
        <is>
          <t>TC-NBK87</t>
        </is>
      </c>
      <c r="B285" s="23" t="inlineStr">
        <is>
          <t>Airbus A320 NEO</t>
        </is>
      </c>
      <c r="C285" s="23" t="inlineStr">
        <is>
          <t>NARROW</t>
        </is>
      </c>
      <c r="D285" s="23" t="inlineStr">
        <is>
          <t>2021-01-19</t>
        </is>
      </c>
      <c r="E285" s="23" t="n">
        <v>15803</v>
      </c>
      <c r="F285" s="23" t="n">
        <v>5383</v>
      </c>
      <c r="G285" s="23" t="inlineStr">
        <is>
          <t>C</t>
        </is>
      </c>
      <c r="H285" s="23" t="n">
        <v>2662</v>
      </c>
      <c r="I285" s="23" t="n">
        <v>2370</v>
      </c>
      <c r="J285" s="23" t="inlineStr">
        <is>
          <t>2024-08-26</t>
        </is>
      </c>
      <c r="K285" s="23" t="n">
        <v>510</v>
      </c>
      <c r="L285" s="23" t="inlineStr">
        <is>
          <t>2024-01-06</t>
        </is>
      </c>
      <c r="M285" s="23" t="n">
        <v>743</v>
      </c>
      <c r="N285" s="23" t="n">
        <v>6.7</v>
      </c>
      <c r="O285" s="23" t="inlineStr">
        <is>
          <t>Bakımda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  <col width="20" customWidth="1" min="5" max="5"/>
  </cols>
  <sheetData>
    <row r="1">
      <c r="A1" s="21" t="inlineStr">
        <is>
          <t>📋 BAKIM LİMİTLERİ VE KURALLARI (EASA/FAA Standartları)</t>
        </is>
      </c>
    </row>
    <row r="3">
      <c r="A3" s="22" t="inlineStr">
        <is>
          <t>Bakım Tipi</t>
        </is>
      </c>
      <c r="B3" s="22" t="inlineStr">
        <is>
          <t>FH Limiti</t>
        </is>
      </c>
      <c r="C3" s="22" t="inlineStr">
        <is>
          <t>FC Limiti</t>
        </is>
      </c>
      <c r="D3" s="22" t="inlineStr">
        <is>
          <t>Zaman Limiti</t>
        </is>
      </c>
      <c r="E3" s="22" t="inlineStr">
        <is>
          <t>Tahmini Süre</t>
        </is>
      </c>
    </row>
    <row r="4">
      <c r="A4" s="23" t="inlineStr">
        <is>
          <t>A Check</t>
        </is>
      </c>
      <c r="B4" s="23" t="n">
        <v>600</v>
      </c>
      <c r="C4" s="23" t="n">
        <v>400</v>
      </c>
      <c r="D4" s="23" t="inlineStr">
        <is>
          <t>-</t>
        </is>
      </c>
      <c r="E4" s="23" t="inlineStr">
        <is>
          <t>1 gün (24 saat)</t>
        </is>
      </c>
    </row>
    <row r="5">
      <c r="A5" s="23" t="inlineStr">
        <is>
          <t>B Check (Phased Maintenance)</t>
        </is>
      </c>
      <c r="B5" s="23" t="inlineStr">
        <is>
          <t>-</t>
        </is>
      </c>
      <c r="C5" s="23" t="inlineStr">
        <is>
          <t>-</t>
        </is>
      </c>
      <c r="D5" s="23" t="inlineStr">
        <is>
          <t>180 gün (6 ay)</t>
        </is>
      </c>
      <c r="E5" s="23" t="inlineStr">
        <is>
          <t>3 gün (72 saat)</t>
        </is>
      </c>
    </row>
    <row r="6">
      <c r="A6" s="23" t="inlineStr">
        <is>
          <t>C Check</t>
        </is>
      </c>
      <c r="B6" s="23" t="n">
        <v>6000</v>
      </c>
      <c r="C6" s="23" t="inlineStr">
        <is>
          <t>-</t>
        </is>
      </c>
      <c r="D6" s="23" t="inlineStr">
        <is>
          <t>730 gün (2 yıl)</t>
        </is>
      </c>
      <c r="E6" s="23" t="inlineStr">
        <is>
          <t>7 gün (168 saat)</t>
        </is>
      </c>
    </row>
    <row r="7">
      <c r="A7" s="23" t="inlineStr">
        <is>
          <t>D Check (Heavy Maintenance)</t>
        </is>
      </c>
      <c r="B7" s="23" t="inlineStr">
        <is>
          <t>-</t>
        </is>
      </c>
      <c r="C7" s="23" t="inlineStr">
        <is>
          <t>-</t>
        </is>
      </c>
      <c r="D7" s="23" t="inlineStr">
        <is>
          <t>2190 gün (6 yıl)</t>
        </is>
      </c>
      <c r="E7" s="23" t="inlineStr">
        <is>
          <t>30 gün (720 saat)</t>
        </is>
      </c>
    </row>
    <row r="9">
      <c r="A9" s="24" t="inlineStr">
        <is>
          <t>📐 HESAPLAMA FORMÜLLERİ:</t>
        </is>
      </c>
    </row>
    <row r="11">
      <c r="A11" s="6" t="inlineStr">
        <is>
          <t>A Check İlerleme (%)</t>
        </is>
      </c>
      <c r="B11" s="25" t="inlineStr">
        <is>
          <t>MAX(Son_Bakımdan_Beri_FH / 600 , Son_Bakımdan_Beri_FC / 400) * 100</t>
        </is>
      </c>
    </row>
    <row r="12">
      <c r="A12" s="6" t="inlineStr">
        <is>
          <t>B Check İlerleme (%)</t>
        </is>
      </c>
      <c r="B12" s="25" t="inlineStr">
        <is>
          <t>Son_Bakımdan_Beri_Gün / 180 * 100</t>
        </is>
      </c>
    </row>
    <row r="13">
      <c r="A13" s="6" t="inlineStr">
        <is>
          <t>C Check İlerleme (%)</t>
        </is>
      </c>
      <c r="B13" s="25" t="inlineStr">
        <is>
          <t>MAX(Son_Bakımdan_Beri_FH * 2 / 6000 , Son_Bakımdan_Beri_Gün / 730) * 100</t>
        </is>
      </c>
    </row>
    <row r="14">
      <c r="A14" s="6" t="inlineStr">
        <is>
          <t>D Check İlerleme (%)</t>
        </is>
      </c>
      <c r="B14" s="25" t="inlineStr">
        <is>
          <t>Son_D_Check_Beri_Gün / 2190 * 100</t>
        </is>
      </c>
    </row>
    <row r="15">
      <c r="A15" s="6" t="inlineStr">
        <is>
          <t>Durum</t>
        </is>
      </c>
      <c r="B15" s="25" t="inlineStr">
        <is>
          <t>IF(İlerleme &gt;= 90, "KRİTİK", IF(İlerleme &gt;= 75, "UYARI", "NORMAL"))</t>
        </is>
      </c>
    </row>
  </sheetData>
  <mergeCells count="6">
    <mergeCell ref="B12:E12"/>
    <mergeCell ref="B13:E13"/>
    <mergeCell ref="B15:E15"/>
    <mergeCell ref="A1:E1"/>
    <mergeCell ref="B11:E11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1" t="inlineStr">
        <is>
          <t>📚 AKADEMİK REFERANSLAR</t>
        </is>
      </c>
    </row>
    <row r="3">
      <c r="A3" s="26" t="inlineStr">
        <is>
          <t>Papakostas et al. (2010)</t>
        </is>
      </c>
    </row>
    <row r="4">
      <c r="A4" s="27" t="inlineStr">
        <is>
          <t>📄 Operational Aircraft Maintenance Planning: A Multi-objective Approach</t>
        </is>
      </c>
    </row>
    <row r="5">
      <c r="A5" s="28" t="inlineStr">
        <is>
          <t>💡 B Check modern havacılıkta 'Phased Maintenance' olarak uygulanır.</t>
        </is>
      </c>
    </row>
    <row r="7">
      <c r="A7" s="26" t="inlineStr">
        <is>
          <t>Callewaert et al. (2017)</t>
        </is>
      </c>
    </row>
    <row r="8">
      <c r="A8" s="27" t="inlineStr">
        <is>
          <t>📄 Integrating maintenance work progress monitoring in a stochastic framework</t>
        </is>
      </c>
    </row>
    <row r="9">
      <c r="A9" s="28" t="inlineStr">
        <is>
          <t>💡 Bakımların %15'inde Non-Routine Finding çıkar, süre 1-3 gün uzar.</t>
        </is>
      </c>
    </row>
    <row r="11">
      <c r="A11" s="26" t="inlineStr">
        <is>
          <t>Kowalski et al. (2021)</t>
        </is>
      </c>
    </row>
    <row r="12">
      <c r="A12" s="27" t="inlineStr">
        <is>
          <t>📄 Resource-constrained project scheduling for aircraft maintenance</t>
        </is>
      </c>
    </row>
    <row r="13">
      <c r="A13" s="28" t="inlineStr">
        <is>
          <t>💡 Hangar kapasitesi sınırlıdır, eş zamanlı max 5 geniş gövde bakımı.</t>
        </is>
      </c>
    </row>
    <row r="15">
      <c r="A15" s="26" t="inlineStr">
        <is>
          <t>Hollander (2025)</t>
        </is>
      </c>
    </row>
    <row r="16">
      <c r="A16" s="27" t="inlineStr">
        <is>
          <t>📄 Uncertainty Quantification in Aviation Maintenance Planning</t>
        </is>
      </c>
    </row>
    <row r="17">
      <c r="A17" s="28" t="inlineStr">
        <is>
          <t>💡 Belirsizlik olasılık dağılımlarıyla modellenmelidir.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2026-01-18T16:04:42Z</dcterms:created>
  <dcterms:modified xmlns:dcterms="http://purl.org/dc/terms/" xmlns:xsi="http://www.w3.org/2001/XMLSchema-instance" xsi:type="dcterms:W3CDTF">2026-01-18T16:04:42Z</dcterms:modified>
</cp:coreProperties>
</file>